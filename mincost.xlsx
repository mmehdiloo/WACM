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\OneDrive\Desktop\Github\40 GAMS- Bank\"/>
    </mc:Choice>
  </mc:AlternateContent>
  <xr:revisionPtr revIDLastSave="0" documentId="13_ncr:1_{3AF79897-FF29-4816-BB4D-EC7427204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Cost_bank19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34" i="1" l="1"/>
  <c r="Q334" i="1"/>
  <c r="O334" i="1"/>
  <c r="P333" i="1"/>
  <c r="Q333" i="1"/>
  <c r="O333" i="1"/>
  <c r="Q332" i="1"/>
  <c r="P332" i="1"/>
  <c r="O332" i="1"/>
  <c r="G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2" i="1"/>
  <c r="P2" i="1"/>
  <c r="O2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H32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C329" i="1"/>
  <c r="C328" i="1"/>
  <c r="C330" i="1"/>
  <c r="D330" i="1"/>
  <c r="E330" i="1"/>
  <c r="D329" i="1"/>
  <c r="E329" i="1"/>
  <c r="D328" i="1"/>
  <c r="E328" i="1"/>
  <c r="C327" i="1"/>
  <c r="D327" i="1"/>
  <c r="E327" i="1"/>
  <c r="B328" i="1"/>
  <c r="B329" i="1"/>
  <c r="B327" i="1"/>
  <c r="B330" i="1"/>
  <c r="O330" i="1" l="1"/>
  <c r="I325" i="1"/>
  <c r="O325" i="1"/>
  <c r="Q325" i="1"/>
  <c r="P325" i="1"/>
  <c r="G325" i="1"/>
  <c r="P329" i="1"/>
  <c r="P330" i="1"/>
  <c r="O329" i="1"/>
  <c r="L325" i="1"/>
  <c r="K325" i="1"/>
  <c r="M325" i="1"/>
  <c r="H325" i="1"/>
  <c r="Q329" i="1"/>
  <c r="Q330" i="1"/>
  <c r="O327" i="1" l="1"/>
  <c r="P327" i="1"/>
  <c r="Q327" i="1"/>
</calcChain>
</file>

<file path=xl/sharedStrings.xml><?xml version="1.0" encoding="utf-8"?>
<sst xmlns="http://schemas.openxmlformats.org/spreadsheetml/2006/main" count="344" uniqueCount="344">
  <si>
    <t>DMU</t>
  </si>
  <si>
    <t>C</t>
  </si>
  <si>
    <t>COS</t>
  </si>
  <si>
    <t>NC=CIS=WACM</t>
  </si>
  <si>
    <t>Actual Cost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</si>
  <si>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</si>
  <si>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</si>
  <si>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</si>
  <si>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</si>
  <si>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</si>
  <si>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</si>
  <si>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</si>
  <si>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</si>
  <si>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</si>
  <si>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</si>
  <si>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</si>
  <si>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</si>
  <si>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</si>
  <si>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</si>
  <si>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</si>
  <si>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</si>
  <si>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</si>
  <si>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</si>
  <si>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</si>
  <si>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</si>
  <si>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</si>
  <si>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</si>
  <si>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</si>
  <si>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</si>
  <si>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</si>
  <si>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</si>
  <si>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</si>
  <si>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</si>
  <si>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</si>
  <si>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</si>
  <si>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</si>
  <si>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</si>
  <si>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</si>
  <si>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</si>
  <si>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</si>
  <si>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</si>
  <si>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</si>
  <si>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</si>
  <si>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</si>
  <si>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</si>
  <si>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</si>
  <si>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</si>
  <si>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</si>
  <si>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</si>
  <si>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</si>
  <si>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</si>
  <si>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</si>
  <si>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</si>
  <si>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</si>
  <si>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</si>
  <si>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</si>
  <si>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</si>
  <si>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</si>
  <si>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</si>
  <si>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</si>
  <si>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</si>
  <si>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</si>
  <si>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</si>
  <si>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</si>
  <si>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</si>
  <si>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</si>
  <si>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</si>
  <si>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</si>
  <si>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</si>
  <si>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</si>
  <si>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</si>
  <si>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</si>
  <si>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</si>
  <si>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</si>
  <si>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</si>
  <si>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</si>
  <si>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</si>
  <si>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</si>
  <si>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</si>
  <si>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</si>
  <si>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</si>
  <si>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</si>
  <si>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</si>
  <si>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</si>
  <si>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</si>
  <si>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</si>
  <si>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</si>
  <si>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</si>
  <si>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</si>
  <si>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</si>
  <si>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</si>
  <si>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</si>
  <si>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</si>
  <si>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</si>
  <si>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</si>
  <si>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</si>
  <si>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</si>
  <si>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</si>
  <si>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</si>
  <si>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</si>
  <si>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</si>
  <si>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</si>
  <si>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</si>
  <si>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</si>
  <si>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</si>
  <si>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</si>
  <si>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</si>
  <si>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</si>
  <si>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</si>
  <si>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</si>
  <si>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</si>
  <si>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</si>
  <si>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</si>
  <si>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</si>
  <si>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</si>
  <si>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</si>
  <si>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</si>
  <si>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</si>
  <si>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</si>
  <si>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</si>
  <si>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</si>
  <si>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</si>
  <si>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</si>
  <si>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</si>
  <si>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</si>
  <si>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</si>
  <si>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</si>
  <si>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</si>
  <si>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</si>
  <si>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</si>
  <si>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</si>
  <si>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</si>
  <si>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</si>
  <si>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</si>
  <si>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</si>
  <si>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</si>
  <si>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</si>
  <si>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</si>
  <si>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</si>
  <si>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</si>
  <si>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</si>
  <si>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</si>
  <si>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</si>
  <si>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</si>
  <si>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</si>
  <si>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</si>
  <si>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</si>
  <si>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</si>
  <si>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</si>
  <si>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</si>
  <si>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</si>
  <si>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</si>
  <si>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</si>
  <si>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</si>
  <si>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</si>
  <si>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</si>
  <si>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</si>
  <si>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</si>
  <si>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</si>
  <si>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</si>
  <si>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</si>
  <si>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</si>
  <si>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</si>
  <si>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</si>
  <si>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</si>
  <si>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</si>
  <si>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</si>
  <si>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</si>
  <si>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</si>
  <si>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</si>
  <si>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</si>
  <si>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</si>
  <si>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</si>
  <si>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</si>
  <si>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</si>
  <si>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</si>
  <si>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</si>
  <si>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</si>
  <si>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</si>
  <si>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</si>
  <si>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</si>
  <si>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</si>
  <si>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</si>
  <si>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</si>
  <si>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</si>
  <si>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</si>
  <si>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</si>
  <si>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</si>
  <si>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</si>
  <si>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</si>
  <si>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</si>
  <si>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</si>
  <si>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</si>
  <si>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</si>
  <si>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</si>
  <si>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</si>
  <si>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</si>
  <si>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</si>
  <si>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</si>
  <si>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</si>
  <si>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</si>
  <si>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</si>
  <si>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</si>
  <si>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</si>
  <si>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</si>
  <si>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</si>
  <si>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</si>
  <si>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</si>
  <si>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</si>
  <si>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</si>
  <si>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</si>
  <si>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</si>
  <si>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</si>
  <si>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</si>
  <si>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</si>
  <si>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</si>
  <si>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</si>
  <si>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</si>
  <si>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</si>
  <si>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</si>
  <si>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</si>
  <si>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</si>
  <si>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</si>
  <si>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</si>
  <si>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</si>
  <si>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</si>
  <si>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</si>
  <si>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</si>
  <si>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</si>
  <si>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</si>
  <si>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</si>
  <si>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</si>
  <si>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</si>
  <si>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</si>
  <si>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</si>
  <si>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</si>
  <si>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</si>
  <si>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</si>
  <si>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</si>
  <si>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</si>
  <si>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</si>
  <si>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</si>
  <si>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</si>
  <si>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</si>
  <si>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</si>
  <si>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</si>
  <si>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</si>
  <si>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</si>
  <si>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</si>
  <si>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</si>
  <si>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</si>
  <si>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</si>
  <si>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</si>
  <si>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</si>
  <si>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</si>
  <si>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</si>
  <si>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</si>
  <si>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</si>
  <si>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</si>
  <si>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</si>
  <si>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</si>
  <si>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</si>
  <si>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</si>
  <si>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</si>
  <si>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</si>
  <si>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</si>
  <si>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</si>
  <si>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</si>
  <si>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</si>
  <si>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</si>
  <si>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</si>
  <si>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</si>
  <si>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</si>
  <si>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</si>
  <si>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</si>
  <si>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</si>
  <si>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</si>
  <si>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</si>
  <si>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</si>
  <si>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</si>
  <si>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</si>
  <si>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</si>
  <si>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</si>
  <si>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</si>
  <si>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</si>
  <si>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</si>
  <si>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</si>
  <si>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</si>
  <si>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</si>
  <si>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</si>
  <si>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</si>
  <si>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</si>
  <si>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</si>
  <si>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</si>
  <si>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</si>
  <si>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</si>
  <si>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</si>
  <si>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</si>
  <si>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</si>
  <si>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</si>
  <si>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</si>
  <si>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</si>
  <si>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</si>
  <si>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</si>
  <si>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</si>
  <si>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</si>
  <si>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</si>
  <si>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</si>
  <si>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</si>
  <si>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</si>
  <si>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</si>
  <si>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</si>
  <si>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</si>
  <si>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</si>
  <si>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</si>
  <si>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</si>
  <si>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</si>
  <si>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</si>
  <si>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</si>
  <si>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</si>
  <si>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</si>
  <si>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</si>
  <si>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</si>
  <si>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</si>
  <si>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</si>
  <si>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</si>
  <si>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</si>
  <si>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Mean</t>
  </si>
  <si>
    <t>Std. Dev.</t>
  </si>
  <si>
    <t>Min</t>
  </si>
  <si>
    <t>Max</t>
  </si>
  <si>
    <t>C-eff</t>
  </si>
  <si>
    <t>COS-eff</t>
  </si>
  <si>
    <t>NC-eff</t>
  </si>
  <si>
    <t>C &lt; WACM</t>
  </si>
  <si>
    <t>COS &lt; WACM</t>
  </si>
  <si>
    <t>C/COS</t>
  </si>
  <si>
    <t>COS/NC</t>
  </si>
  <si>
    <t>Sum</t>
  </si>
  <si>
    <t>C &lt; COS</t>
  </si>
  <si>
    <t>C/NC = C/COS * COS/NC</t>
  </si>
  <si>
    <t>Max of values &lt; 1</t>
  </si>
  <si>
    <t>Sum of values &lt; 1</t>
  </si>
  <si>
    <t>Mean of values &lt;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</si>
</sst>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164" fontId="0" fillId="33" borderId="0" xfId="0" applyNumberFormat="1" applyFill="1"/>
    <xf numFmtId="0" fontId="0" fillId="33" borderId="0" xfId="0" applyFill="1"/>
    <xf numFmtId="0" fontId="0" fillId="33" borderId="0" xfId="0" applyFill="1" applyAlignment="1">
      <alignment horizontal="center"/>
    </xf>
    <xf numFmtId="164" fontId="0" fillId="33" borderId="0" xfId="0" applyNumberForma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0" xfId="0" applyFill="1"/>
    <xf numFmtId="0" fontId="0" fillId="34" borderId="0" xfId="0" applyFill="1" applyAlignment="1">
      <alignment horizontal="center"/>
    </xf>
    <xf numFmtId="164" fontId="0" fillId="34" borderId="0" xfId="0" applyNumberFormat="1" applyFill="1" applyAlignment="1">
      <alignment horizontal="center"/>
    </xf>
    <xf numFmtId="0" fontId="16" fillId="35" borderId="0" xfId="0" applyFont="1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164" fontId="0" fillId="35" borderId="0" xfId="0" applyNumberForma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6"/>
  <sheetViews>
    <sheetView tabSelected="1" topLeftCell="D1" workbookViewId="0">
      <selection activeCell="A331" sqref="A331"/>
    </sheetView>
  </sheetViews>
  <sheetFormatPr defaultRowHeight="14.4" x14ac:dyDescent="0.3"/>
  <cols>
    <col min="1" max="1" width="17.44140625" style="1" customWidth="1"/>
    <col min="2" max="2" width="14.109375" customWidth="1"/>
    <col min="3" max="3" width="15.33203125" customWidth="1"/>
    <col min="4" max="4" width="17.88671875" customWidth="1"/>
    <col min="5" max="5" width="17.77734375" customWidth="1"/>
    <col min="6" max="6" width="17.88671875" customWidth="1"/>
    <col min="7" max="9" width="8.88671875" customWidth="1"/>
    <col min="10" max="10" width="8.5546875" customWidth="1"/>
    <col min="11" max="11" width="10.5546875" customWidth="1"/>
    <col min="12" max="12" width="13.88671875" style="2" customWidth="1"/>
    <col min="13" max="13" width="12.6640625" customWidth="1"/>
    <col min="15" max="15" width="17.6640625" customWidth="1"/>
    <col min="16" max="16" width="17" customWidth="1"/>
    <col min="17" max="17" width="23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331</v>
      </c>
      <c r="H1" s="1" t="s">
        <v>332</v>
      </c>
      <c r="I1" s="1" t="s">
        <v>333</v>
      </c>
      <c r="J1" s="1"/>
      <c r="K1" s="1" t="s">
        <v>339</v>
      </c>
      <c r="L1" s="1" t="s">
        <v>335</v>
      </c>
      <c r="M1" s="1" t="s">
        <v>334</v>
      </c>
      <c r="O1" s="1" t="s">
        <v>336</v>
      </c>
      <c r="P1" s="1" t="s">
        <v>337</v>
      </c>
      <c r="Q1" s="1" t="s">
        <v>340</v>
      </c>
    </row>
    <row r="2" spans="1:17" x14ac:dyDescent="0.3">
      <c r="A2" s="1" t="s">
        <v>5</v>
      </c>
      <c r="B2">
        <v>500.94900000000001</v>
      </c>
      <c r="C2">
        <v>713</v>
      </c>
      <c r="D2">
        <v>713</v>
      </c>
      <c r="E2">
        <v>713</v>
      </c>
      <c r="G2" s="2">
        <f>IF(B2=E2, 1, 0)</f>
        <v>0</v>
      </c>
      <c r="H2" s="2">
        <f t="shared" ref="H2:H65" si="0">IF(C2=E2, 1, 0)</f>
        <v>1</v>
      </c>
      <c r="I2" s="2">
        <f t="shared" ref="I2:I65" si="1">IF(D2=E2, 1, 0)</f>
        <v>1</v>
      </c>
      <c r="J2" s="2"/>
      <c r="K2" s="2">
        <f t="shared" ref="K2:K65" si="2">IF(B2&lt;C2, 1, 0)</f>
        <v>1</v>
      </c>
      <c r="L2" s="2">
        <f t="shared" ref="L2:L65" si="3">IF(C2&lt;D2, 1, 0)</f>
        <v>0</v>
      </c>
      <c r="M2" s="2">
        <f t="shared" ref="M2:M65" si="4">IF(B2&lt;D2, 1, 0)</f>
        <v>1</v>
      </c>
      <c r="O2" s="3">
        <f>IF(B2&lt;C2, B2/C2, 1)</f>
        <v>0.70259326788218801</v>
      </c>
      <c r="P2" s="3">
        <f>IF(C2&lt;D2, C2/D2, 1)</f>
        <v>1</v>
      </c>
      <c r="Q2" s="3">
        <f>IF(B2&lt;D2, B2/D2, 1)</f>
        <v>0.70259326788218801</v>
      </c>
    </row>
    <row r="3" spans="1:17" x14ac:dyDescent="0.3">
      <c r="A3" s="1" t="s">
        <v>6</v>
      </c>
      <c r="B3">
        <v>1666.412</v>
      </c>
      <c r="C3">
        <v>1843</v>
      </c>
      <c r="D3">
        <v>1843</v>
      </c>
      <c r="E3">
        <v>1843</v>
      </c>
      <c r="G3" s="2">
        <f t="shared" ref="G3:G65" si="5">IF(B3=E3, 1, 0)</f>
        <v>0</v>
      </c>
      <c r="H3" s="2">
        <f t="shared" si="0"/>
        <v>1</v>
      </c>
      <c r="I3" s="2">
        <f t="shared" si="1"/>
        <v>1</v>
      </c>
      <c r="J3" s="2"/>
      <c r="K3" s="2">
        <f t="shared" si="2"/>
        <v>1</v>
      </c>
      <c r="L3" s="2">
        <f t="shared" si="3"/>
        <v>0</v>
      </c>
      <c r="M3" s="2">
        <f t="shared" si="4"/>
        <v>1</v>
      </c>
      <c r="O3" s="3">
        <f t="shared" ref="O3:O66" si="6">IF(B3&lt;C3, B3/C3, 1)</f>
        <v>0.90418448182311451</v>
      </c>
      <c r="P3" s="3">
        <f t="shared" ref="P3:P66" si="7">IF(C3&lt;D3, C3/D3, 1)</f>
        <v>1</v>
      </c>
      <c r="Q3" s="3">
        <f t="shared" ref="Q3:Q66" si="8">IF(B3&lt;D3, B3/D3, 1)</f>
        <v>0.90418448182311451</v>
      </c>
    </row>
    <row r="4" spans="1:17" x14ac:dyDescent="0.3">
      <c r="A4" s="1" t="s">
        <v>7</v>
      </c>
      <c r="B4">
        <v>333.20400000000001</v>
      </c>
      <c r="C4">
        <v>340</v>
      </c>
      <c r="D4">
        <v>340</v>
      </c>
      <c r="E4">
        <v>340</v>
      </c>
      <c r="G4" s="2">
        <f t="shared" si="5"/>
        <v>0</v>
      </c>
      <c r="H4" s="2">
        <f t="shared" si="0"/>
        <v>1</v>
      </c>
      <c r="I4" s="2">
        <f t="shared" si="1"/>
        <v>1</v>
      </c>
      <c r="J4" s="2"/>
      <c r="K4" s="2">
        <f t="shared" si="2"/>
        <v>1</v>
      </c>
      <c r="L4" s="2">
        <f t="shared" si="3"/>
        <v>0</v>
      </c>
      <c r="M4" s="2">
        <f t="shared" si="4"/>
        <v>1</v>
      </c>
      <c r="O4" s="3">
        <f t="shared" si="6"/>
        <v>0.98001176470588236</v>
      </c>
      <c r="P4" s="3">
        <f t="shared" si="7"/>
        <v>1</v>
      </c>
      <c r="Q4" s="3">
        <f t="shared" si="8"/>
        <v>0.98001176470588236</v>
      </c>
    </row>
    <row r="5" spans="1:17" x14ac:dyDescent="0.3">
      <c r="A5" s="1" t="s">
        <v>8</v>
      </c>
      <c r="B5">
        <v>1172.8230000000001</v>
      </c>
      <c r="C5">
        <v>1191</v>
      </c>
      <c r="D5">
        <v>1191</v>
      </c>
      <c r="E5">
        <v>1191</v>
      </c>
      <c r="G5" s="2">
        <f t="shared" si="5"/>
        <v>0</v>
      </c>
      <c r="H5" s="2">
        <f t="shared" si="0"/>
        <v>1</v>
      </c>
      <c r="I5" s="2">
        <f t="shared" si="1"/>
        <v>1</v>
      </c>
      <c r="J5" s="2"/>
      <c r="K5" s="2">
        <f t="shared" si="2"/>
        <v>1</v>
      </c>
      <c r="L5" s="2">
        <f t="shared" si="3"/>
        <v>0</v>
      </c>
      <c r="M5" s="2">
        <f t="shared" si="4"/>
        <v>1</v>
      </c>
      <c r="O5" s="3">
        <f t="shared" si="6"/>
        <v>0.98473803526448367</v>
      </c>
      <c r="P5" s="3">
        <f t="shared" si="7"/>
        <v>1</v>
      </c>
      <c r="Q5" s="3">
        <f t="shared" si="8"/>
        <v>0.98473803526448367</v>
      </c>
    </row>
    <row r="6" spans="1:17" x14ac:dyDescent="0.3">
      <c r="A6" s="1" t="s">
        <v>9</v>
      </c>
      <c r="B6">
        <v>1324.454</v>
      </c>
      <c r="C6">
        <v>1369.998</v>
      </c>
      <c r="D6">
        <v>1369.998</v>
      </c>
      <c r="E6">
        <v>1369.998</v>
      </c>
      <c r="G6" s="2">
        <f t="shared" si="5"/>
        <v>0</v>
      </c>
      <c r="H6" s="2">
        <f t="shared" si="0"/>
        <v>1</v>
      </c>
      <c r="I6" s="2">
        <f t="shared" si="1"/>
        <v>1</v>
      </c>
      <c r="J6" s="2"/>
      <c r="K6" s="2">
        <f t="shared" si="2"/>
        <v>1</v>
      </c>
      <c r="L6" s="2">
        <f t="shared" si="3"/>
        <v>0</v>
      </c>
      <c r="M6" s="2">
        <f t="shared" si="4"/>
        <v>1</v>
      </c>
      <c r="O6" s="3">
        <f t="shared" si="6"/>
        <v>0.96675615584840258</v>
      </c>
      <c r="P6" s="3">
        <f t="shared" si="7"/>
        <v>1</v>
      </c>
      <c r="Q6" s="3">
        <f t="shared" si="8"/>
        <v>0.96675615584840258</v>
      </c>
    </row>
    <row r="7" spans="1:17" x14ac:dyDescent="0.3">
      <c r="A7" s="1" t="s">
        <v>10</v>
      </c>
      <c r="B7">
        <v>428</v>
      </c>
      <c r="C7">
        <v>428</v>
      </c>
      <c r="D7">
        <v>428</v>
      </c>
      <c r="E7">
        <v>428</v>
      </c>
      <c r="G7" s="2">
        <f t="shared" si="5"/>
        <v>1</v>
      </c>
      <c r="H7" s="2">
        <f t="shared" si="0"/>
        <v>1</v>
      </c>
      <c r="I7" s="2">
        <f t="shared" si="1"/>
        <v>1</v>
      </c>
      <c r="J7" s="2"/>
      <c r="K7" s="2">
        <f t="shared" si="2"/>
        <v>0</v>
      </c>
      <c r="L7" s="2">
        <f t="shared" si="3"/>
        <v>0</v>
      </c>
      <c r="M7" s="2">
        <f t="shared" si="4"/>
        <v>0</v>
      </c>
      <c r="O7" s="3">
        <f t="shared" si="6"/>
        <v>1</v>
      </c>
      <c r="P7" s="3">
        <f t="shared" si="7"/>
        <v>1</v>
      </c>
      <c r="Q7" s="3">
        <f t="shared" si="8"/>
        <v>1</v>
      </c>
    </row>
    <row r="8" spans="1:17" x14ac:dyDescent="0.3">
      <c r="A8" s="1" t="s">
        <v>11</v>
      </c>
      <c r="B8">
        <v>345.70100000000002</v>
      </c>
      <c r="C8">
        <v>544.68600000000004</v>
      </c>
      <c r="D8">
        <v>740.00099999999998</v>
      </c>
      <c r="E8">
        <v>740.00099999999998</v>
      </c>
      <c r="G8" s="2">
        <f t="shared" si="5"/>
        <v>0</v>
      </c>
      <c r="H8" s="2">
        <f t="shared" si="0"/>
        <v>0</v>
      </c>
      <c r="I8" s="2">
        <f t="shared" si="1"/>
        <v>1</v>
      </c>
      <c r="J8" s="2"/>
      <c r="K8" s="2">
        <f t="shared" si="2"/>
        <v>1</v>
      </c>
      <c r="L8" s="2">
        <f t="shared" si="3"/>
        <v>1</v>
      </c>
      <c r="M8" s="2">
        <f t="shared" si="4"/>
        <v>1</v>
      </c>
      <c r="O8" s="3">
        <f t="shared" si="6"/>
        <v>0.63467942998351345</v>
      </c>
      <c r="P8" s="3">
        <f t="shared" si="7"/>
        <v>0.73606116748490891</v>
      </c>
      <c r="Q8" s="3">
        <f t="shared" si="8"/>
        <v>0.46716288221232138</v>
      </c>
    </row>
    <row r="9" spans="1:17" x14ac:dyDescent="0.3">
      <c r="A9" s="1" t="s">
        <v>12</v>
      </c>
      <c r="B9">
        <v>1766</v>
      </c>
      <c r="C9">
        <v>1766</v>
      </c>
      <c r="D9">
        <v>1766</v>
      </c>
      <c r="E9">
        <v>1766</v>
      </c>
      <c r="G9" s="2">
        <f t="shared" si="5"/>
        <v>1</v>
      </c>
      <c r="H9" s="2">
        <f t="shared" si="0"/>
        <v>1</v>
      </c>
      <c r="I9" s="2">
        <f t="shared" si="1"/>
        <v>1</v>
      </c>
      <c r="J9" s="2"/>
      <c r="K9" s="2">
        <f t="shared" si="2"/>
        <v>0</v>
      </c>
      <c r="L9" s="2">
        <f t="shared" si="3"/>
        <v>0</v>
      </c>
      <c r="M9" s="2">
        <f t="shared" si="4"/>
        <v>0</v>
      </c>
      <c r="O9" s="3">
        <f t="shared" si="6"/>
        <v>1</v>
      </c>
      <c r="P9" s="3">
        <f t="shared" si="7"/>
        <v>1</v>
      </c>
      <c r="Q9" s="3">
        <f t="shared" si="8"/>
        <v>1</v>
      </c>
    </row>
    <row r="10" spans="1:17" x14ac:dyDescent="0.3">
      <c r="A10" s="1" t="s">
        <v>13</v>
      </c>
      <c r="B10">
        <v>1030.172</v>
      </c>
      <c r="C10">
        <v>1305.7850000000001</v>
      </c>
      <c r="D10">
        <v>1896.278</v>
      </c>
      <c r="E10">
        <v>1996.999</v>
      </c>
      <c r="G10" s="2">
        <f t="shared" si="5"/>
        <v>0</v>
      </c>
      <c r="H10" s="2">
        <f t="shared" si="0"/>
        <v>0</v>
      </c>
      <c r="I10" s="2">
        <f t="shared" si="1"/>
        <v>0</v>
      </c>
      <c r="J10" s="2"/>
      <c r="K10" s="2">
        <f t="shared" si="2"/>
        <v>1</v>
      </c>
      <c r="L10" s="2">
        <f t="shared" si="3"/>
        <v>1</v>
      </c>
      <c r="M10" s="2">
        <f t="shared" si="4"/>
        <v>1</v>
      </c>
      <c r="O10" s="3">
        <f t="shared" si="6"/>
        <v>0.78892926477176561</v>
      </c>
      <c r="P10" s="3">
        <f t="shared" si="7"/>
        <v>0.68860420254836052</v>
      </c>
      <c r="Q10" s="3">
        <f t="shared" si="8"/>
        <v>0.54326000723522605</v>
      </c>
    </row>
    <row r="11" spans="1:17" x14ac:dyDescent="0.3">
      <c r="A11" s="1" t="s">
        <v>14</v>
      </c>
      <c r="B11">
        <v>727.74300000000005</v>
      </c>
      <c r="C11">
        <v>1325.2360000000001</v>
      </c>
      <c r="D11">
        <v>1476.001</v>
      </c>
      <c r="E11">
        <v>1476.001</v>
      </c>
      <c r="G11" s="2">
        <f t="shared" si="5"/>
        <v>0</v>
      </c>
      <c r="H11" s="2">
        <f t="shared" si="0"/>
        <v>0</v>
      </c>
      <c r="I11" s="2">
        <f t="shared" si="1"/>
        <v>1</v>
      </c>
      <c r="J11" s="2"/>
      <c r="K11" s="2">
        <f t="shared" si="2"/>
        <v>1</v>
      </c>
      <c r="L11" s="2">
        <f t="shared" si="3"/>
        <v>1</v>
      </c>
      <c r="M11" s="2">
        <f t="shared" si="4"/>
        <v>1</v>
      </c>
      <c r="O11" s="3">
        <f t="shared" si="6"/>
        <v>0.54914219052304647</v>
      </c>
      <c r="P11" s="3">
        <f t="shared" si="7"/>
        <v>0.8978557602603251</v>
      </c>
      <c r="Q11" s="3">
        <f t="shared" si="8"/>
        <v>0.49305047896309018</v>
      </c>
    </row>
    <row r="12" spans="1:17" x14ac:dyDescent="0.3">
      <c r="A12" s="1" t="s">
        <v>15</v>
      </c>
      <c r="B12">
        <v>594.89800000000002</v>
      </c>
      <c r="C12">
        <v>791.28499999999997</v>
      </c>
      <c r="D12">
        <v>998</v>
      </c>
      <c r="E12">
        <v>998</v>
      </c>
      <c r="G12" s="2">
        <f t="shared" si="5"/>
        <v>0</v>
      </c>
      <c r="H12" s="2">
        <f t="shared" si="0"/>
        <v>0</v>
      </c>
      <c r="I12" s="2">
        <f t="shared" si="1"/>
        <v>1</v>
      </c>
      <c r="J12" s="2"/>
      <c r="K12" s="2">
        <f t="shared" si="2"/>
        <v>1</v>
      </c>
      <c r="L12" s="2">
        <f t="shared" si="3"/>
        <v>1</v>
      </c>
      <c r="M12" s="2">
        <f t="shared" si="4"/>
        <v>1</v>
      </c>
      <c r="O12" s="3">
        <f t="shared" si="6"/>
        <v>0.75181255805430414</v>
      </c>
      <c r="P12" s="3">
        <f t="shared" si="7"/>
        <v>0.79287074148296588</v>
      </c>
      <c r="Q12" s="3">
        <f t="shared" si="8"/>
        <v>0.59609018036072148</v>
      </c>
    </row>
    <row r="13" spans="1:17" x14ac:dyDescent="0.3">
      <c r="A13" s="1" t="s">
        <v>16</v>
      </c>
      <c r="B13">
        <v>1196.1659999999999</v>
      </c>
      <c r="C13">
        <v>1664.7639999999999</v>
      </c>
      <c r="D13">
        <v>1842.9970000000001</v>
      </c>
      <c r="E13">
        <v>1842.9970000000001</v>
      </c>
      <c r="G13" s="2">
        <f t="shared" si="5"/>
        <v>0</v>
      </c>
      <c r="H13" s="2">
        <f t="shared" si="0"/>
        <v>0</v>
      </c>
      <c r="I13" s="2">
        <f t="shared" si="1"/>
        <v>1</v>
      </c>
      <c r="J13" s="2"/>
      <c r="K13" s="2">
        <f t="shared" si="2"/>
        <v>1</v>
      </c>
      <c r="L13" s="2">
        <f t="shared" si="3"/>
        <v>1</v>
      </c>
      <c r="M13" s="2">
        <f t="shared" si="4"/>
        <v>1</v>
      </c>
      <c r="O13" s="3">
        <f t="shared" si="6"/>
        <v>0.71851986227477294</v>
      </c>
      <c r="P13" s="3">
        <f t="shared" si="7"/>
        <v>0.90329175793557981</v>
      </c>
      <c r="Q13" s="3">
        <f t="shared" si="8"/>
        <v>0.6490330695058103</v>
      </c>
    </row>
    <row r="14" spans="1:17" x14ac:dyDescent="0.3">
      <c r="A14" s="1" t="s">
        <v>17</v>
      </c>
      <c r="B14">
        <v>449.86099999999999</v>
      </c>
      <c r="C14">
        <v>672.851</v>
      </c>
      <c r="D14">
        <v>728</v>
      </c>
      <c r="E14">
        <v>728</v>
      </c>
      <c r="G14" s="2">
        <f t="shared" si="5"/>
        <v>0</v>
      </c>
      <c r="H14" s="2">
        <f t="shared" si="0"/>
        <v>0</v>
      </c>
      <c r="I14" s="2">
        <f t="shared" si="1"/>
        <v>1</v>
      </c>
      <c r="J14" s="2"/>
      <c r="K14" s="2">
        <f t="shared" si="2"/>
        <v>1</v>
      </c>
      <c r="L14" s="2">
        <f t="shared" si="3"/>
        <v>1</v>
      </c>
      <c r="M14" s="2">
        <f t="shared" si="4"/>
        <v>1</v>
      </c>
      <c r="O14" s="3">
        <f t="shared" si="6"/>
        <v>0.66858933107032614</v>
      </c>
      <c r="P14" s="3">
        <f t="shared" si="7"/>
        <v>0.92424587912087908</v>
      </c>
      <c r="Q14" s="3">
        <f t="shared" si="8"/>
        <v>0.61794093406593409</v>
      </c>
    </row>
    <row r="15" spans="1:17" x14ac:dyDescent="0.3">
      <c r="A15" s="1" t="s">
        <v>18</v>
      </c>
      <c r="B15">
        <v>1366.884</v>
      </c>
      <c r="C15">
        <v>1854.001</v>
      </c>
      <c r="D15">
        <v>1854.001</v>
      </c>
      <c r="E15">
        <v>1854.001</v>
      </c>
      <c r="G15" s="2">
        <f t="shared" si="5"/>
        <v>0</v>
      </c>
      <c r="H15" s="2">
        <f t="shared" si="0"/>
        <v>1</v>
      </c>
      <c r="I15" s="2">
        <f t="shared" si="1"/>
        <v>1</v>
      </c>
      <c r="J15" s="2"/>
      <c r="K15" s="2">
        <f t="shared" si="2"/>
        <v>1</v>
      </c>
      <c r="L15" s="2">
        <f t="shared" si="3"/>
        <v>0</v>
      </c>
      <c r="M15" s="2">
        <f t="shared" si="4"/>
        <v>1</v>
      </c>
      <c r="O15" s="3">
        <f t="shared" si="6"/>
        <v>0.73726173826227714</v>
      </c>
      <c r="P15" s="3">
        <f t="shared" si="7"/>
        <v>1</v>
      </c>
      <c r="Q15" s="3">
        <f t="shared" si="8"/>
        <v>0.73726173826227714</v>
      </c>
    </row>
    <row r="16" spans="1:17" x14ac:dyDescent="0.3">
      <c r="A16" s="1" t="s">
        <v>19</v>
      </c>
      <c r="B16">
        <v>976.42600000000004</v>
      </c>
      <c r="C16">
        <v>1435.905</v>
      </c>
      <c r="D16">
        <v>1551.0039999999999</v>
      </c>
      <c r="E16">
        <v>1551.0039999999999</v>
      </c>
      <c r="G16" s="2">
        <f t="shared" si="5"/>
        <v>0</v>
      </c>
      <c r="H16" s="2">
        <f t="shared" si="0"/>
        <v>0</v>
      </c>
      <c r="I16" s="2">
        <f t="shared" si="1"/>
        <v>1</v>
      </c>
      <c r="J16" s="2"/>
      <c r="K16" s="2">
        <f t="shared" si="2"/>
        <v>1</v>
      </c>
      <c r="L16" s="2">
        <f t="shared" si="3"/>
        <v>1</v>
      </c>
      <c r="M16" s="2">
        <f t="shared" si="4"/>
        <v>1</v>
      </c>
      <c r="O16" s="3">
        <f t="shared" si="6"/>
        <v>0.68000738210396927</v>
      </c>
      <c r="P16" s="3">
        <f t="shared" si="7"/>
        <v>0.92579064915370946</v>
      </c>
      <c r="Q16" s="3">
        <f t="shared" si="8"/>
        <v>0.62954447570734839</v>
      </c>
    </row>
    <row r="17" spans="1:17" x14ac:dyDescent="0.3">
      <c r="A17" s="1" t="s">
        <v>20</v>
      </c>
      <c r="B17">
        <v>299.07100000000003</v>
      </c>
      <c r="C17">
        <v>444.28399999999999</v>
      </c>
      <c r="D17">
        <v>560</v>
      </c>
      <c r="E17">
        <v>560</v>
      </c>
      <c r="G17" s="2">
        <f t="shared" si="5"/>
        <v>0</v>
      </c>
      <c r="H17" s="2">
        <f t="shared" si="0"/>
        <v>0</v>
      </c>
      <c r="I17" s="2">
        <f t="shared" si="1"/>
        <v>1</v>
      </c>
      <c r="J17" s="2"/>
      <c r="K17" s="2">
        <f t="shared" si="2"/>
        <v>1</v>
      </c>
      <c r="L17" s="2">
        <f t="shared" si="3"/>
        <v>1</v>
      </c>
      <c r="M17" s="2">
        <f t="shared" si="4"/>
        <v>1</v>
      </c>
      <c r="O17" s="3">
        <f t="shared" si="6"/>
        <v>0.67315275814569064</v>
      </c>
      <c r="P17" s="3">
        <f t="shared" si="7"/>
        <v>0.79336428571428574</v>
      </c>
      <c r="Q17" s="3">
        <f t="shared" si="8"/>
        <v>0.53405535714285723</v>
      </c>
    </row>
    <row r="18" spans="1:17" x14ac:dyDescent="0.3">
      <c r="A18" s="1" t="s">
        <v>21</v>
      </c>
      <c r="B18">
        <v>167.489</v>
      </c>
      <c r="C18">
        <v>220.05799999999999</v>
      </c>
      <c r="D18">
        <v>267</v>
      </c>
      <c r="E18">
        <v>267</v>
      </c>
      <c r="G18" s="2">
        <f t="shared" si="5"/>
        <v>0</v>
      </c>
      <c r="H18" s="2">
        <f t="shared" si="0"/>
        <v>0</v>
      </c>
      <c r="I18" s="2">
        <f t="shared" si="1"/>
        <v>1</v>
      </c>
      <c r="J18" s="2"/>
      <c r="K18" s="2">
        <f t="shared" si="2"/>
        <v>1</v>
      </c>
      <c r="L18" s="2">
        <f t="shared" si="3"/>
        <v>1</v>
      </c>
      <c r="M18" s="2">
        <f t="shared" si="4"/>
        <v>1</v>
      </c>
      <c r="O18" s="3">
        <f t="shared" si="6"/>
        <v>0.76111297930545585</v>
      </c>
      <c r="P18" s="3">
        <f t="shared" si="7"/>
        <v>0.82418726591760294</v>
      </c>
      <c r="Q18" s="3">
        <f t="shared" si="8"/>
        <v>0.62729962546816476</v>
      </c>
    </row>
    <row r="19" spans="1:17" x14ac:dyDescent="0.3">
      <c r="A19" s="1" t="s">
        <v>22</v>
      </c>
      <c r="B19">
        <v>658.31500000000005</v>
      </c>
      <c r="C19">
        <v>1071.942</v>
      </c>
      <c r="D19">
        <v>1409.1590000000001</v>
      </c>
      <c r="E19">
        <v>1440</v>
      </c>
      <c r="G19" s="2">
        <f t="shared" si="5"/>
        <v>0</v>
      </c>
      <c r="H19" s="2">
        <f t="shared" si="0"/>
        <v>0</v>
      </c>
      <c r="I19" s="2">
        <f t="shared" si="1"/>
        <v>0</v>
      </c>
      <c r="J19" s="2"/>
      <c r="K19" s="2">
        <f t="shared" si="2"/>
        <v>1</v>
      </c>
      <c r="L19" s="2">
        <f t="shared" si="3"/>
        <v>1</v>
      </c>
      <c r="M19" s="2">
        <f t="shared" si="4"/>
        <v>1</v>
      </c>
      <c r="O19" s="3">
        <f t="shared" si="6"/>
        <v>0.61413304078019149</v>
      </c>
      <c r="P19" s="3">
        <f t="shared" si="7"/>
        <v>0.76069627345104418</v>
      </c>
      <c r="Q19" s="3">
        <f t="shared" si="8"/>
        <v>0.46716871552464984</v>
      </c>
    </row>
    <row r="20" spans="1:17" x14ac:dyDescent="0.3">
      <c r="A20" s="1" t="s">
        <v>23</v>
      </c>
      <c r="B20">
        <v>1221</v>
      </c>
      <c r="C20">
        <v>1221</v>
      </c>
      <c r="D20">
        <v>1221</v>
      </c>
      <c r="E20">
        <v>1221</v>
      </c>
      <c r="G20" s="2">
        <f t="shared" si="5"/>
        <v>1</v>
      </c>
      <c r="H20" s="2">
        <f t="shared" si="0"/>
        <v>1</v>
      </c>
      <c r="I20" s="2">
        <f t="shared" si="1"/>
        <v>1</v>
      </c>
      <c r="J20" s="2"/>
      <c r="K20" s="2">
        <f t="shared" si="2"/>
        <v>0</v>
      </c>
      <c r="L20" s="2">
        <f t="shared" si="3"/>
        <v>0</v>
      </c>
      <c r="M20" s="2">
        <f t="shared" si="4"/>
        <v>0</v>
      </c>
      <c r="O20" s="3">
        <f t="shared" si="6"/>
        <v>1</v>
      </c>
      <c r="P20" s="3">
        <f t="shared" si="7"/>
        <v>1</v>
      </c>
      <c r="Q20" s="3">
        <f t="shared" si="8"/>
        <v>1</v>
      </c>
    </row>
    <row r="21" spans="1:17" x14ac:dyDescent="0.3">
      <c r="A21" s="1" t="s">
        <v>24</v>
      </c>
      <c r="B21">
        <v>1249.3889999999999</v>
      </c>
      <c r="C21">
        <v>1436</v>
      </c>
      <c r="D21">
        <v>1436</v>
      </c>
      <c r="E21">
        <v>1436</v>
      </c>
      <c r="G21" s="2">
        <f t="shared" si="5"/>
        <v>0</v>
      </c>
      <c r="H21" s="2">
        <f t="shared" si="0"/>
        <v>1</v>
      </c>
      <c r="I21" s="2">
        <f t="shared" si="1"/>
        <v>1</v>
      </c>
      <c r="J21" s="2"/>
      <c r="K21" s="2">
        <f t="shared" si="2"/>
        <v>1</v>
      </c>
      <c r="L21" s="2">
        <f t="shared" si="3"/>
        <v>0</v>
      </c>
      <c r="M21" s="2">
        <f t="shared" si="4"/>
        <v>1</v>
      </c>
      <c r="O21" s="3">
        <f t="shared" si="6"/>
        <v>0.87004805013927566</v>
      </c>
      <c r="P21" s="3">
        <f t="shared" si="7"/>
        <v>1</v>
      </c>
      <c r="Q21" s="3">
        <f t="shared" si="8"/>
        <v>0.87004805013927566</v>
      </c>
    </row>
    <row r="22" spans="1:17" x14ac:dyDescent="0.3">
      <c r="A22" s="1" t="s">
        <v>25</v>
      </c>
      <c r="B22">
        <v>1123.4349999999999</v>
      </c>
      <c r="C22">
        <v>1330.184</v>
      </c>
      <c r="D22">
        <v>1520</v>
      </c>
      <c r="E22">
        <v>1520</v>
      </c>
      <c r="G22" s="2">
        <f t="shared" si="5"/>
        <v>0</v>
      </c>
      <c r="H22" s="2">
        <f t="shared" si="0"/>
        <v>0</v>
      </c>
      <c r="I22" s="2">
        <f t="shared" si="1"/>
        <v>1</v>
      </c>
      <c r="J22" s="2"/>
      <c r="K22" s="2">
        <f t="shared" si="2"/>
        <v>1</v>
      </c>
      <c r="L22" s="2">
        <f t="shared" si="3"/>
        <v>1</v>
      </c>
      <c r="M22" s="2">
        <f t="shared" si="4"/>
        <v>1</v>
      </c>
      <c r="O22" s="3">
        <f t="shared" si="6"/>
        <v>0.84457112700197867</v>
      </c>
      <c r="P22" s="3">
        <f t="shared" si="7"/>
        <v>0.87512105263157891</v>
      </c>
      <c r="Q22" s="3">
        <f t="shared" si="8"/>
        <v>0.73910197368421049</v>
      </c>
    </row>
    <row r="23" spans="1:17" x14ac:dyDescent="0.3">
      <c r="A23" s="1" t="s">
        <v>26</v>
      </c>
      <c r="B23">
        <v>784.92899999999997</v>
      </c>
      <c r="C23">
        <v>1288.23</v>
      </c>
      <c r="D23">
        <v>1434</v>
      </c>
      <c r="E23">
        <v>1434</v>
      </c>
      <c r="G23" s="2">
        <f t="shared" si="5"/>
        <v>0</v>
      </c>
      <c r="H23" s="2">
        <f t="shared" si="0"/>
        <v>0</v>
      </c>
      <c r="I23" s="2">
        <f t="shared" si="1"/>
        <v>1</v>
      </c>
      <c r="J23" s="2"/>
      <c r="K23" s="2">
        <f t="shared" si="2"/>
        <v>1</v>
      </c>
      <c r="L23" s="2">
        <f t="shared" si="3"/>
        <v>1</v>
      </c>
      <c r="M23" s="2">
        <f t="shared" si="4"/>
        <v>1</v>
      </c>
      <c r="O23" s="3">
        <f t="shared" si="6"/>
        <v>0.60930812044433058</v>
      </c>
      <c r="P23" s="3">
        <f t="shared" si="7"/>
        <v>0.89834728033472799</v>
      </c>
      <c r="Q23" s="3">
        <f t="shared" si="8"/>
        <v>0.54737029288702932</v>
      </c>
    </row>
    <row r="24" spans="1:17" x14ac:dyDescent="0.3">
      <c r="A24" s="1" t="s">
        <v>27</v>
      </c>
      <c r="B24">
        <v>1310.693</v>
      </c>
      <c r="C24">
        <v>1925.2280000000001</v>
      </c>
      <c r="D24">
        <v>1990</v>
      </c>
      <c r="E24">
        <v>1990</v>
      </c>
      <c r="G24" s="2">
        <f t="shared" si="5"/>
        <v>0</v>
      </c>
      <c r="H24" s="2">
        <f t="shared" si="0"/>
        <v>0</v>
      </c>
      <c r="I24" s="2">
        <f t="shared" si="1"/>
        <v>1</v>
      </c>
      <c r="J24" s="2"/>
      <c r="K24" s="2">
        <f t="shared" si="2"/>
        <v>1</v>
      </c>
      <c r="L24" s="2">
        <f t="shared" si="3"/>
        <v>1</v>
      </c>
      <c r="M24" s="2">
        <f t="shared" si="4"/>
        <v>1</v>
      </c>
      <c r="O24" s="3">
        <f t="shared" si="6"/>
        <v>0.68079884564321724</v>
      </c>
      <c r="P24" s="3">
        <f t="shared" si="7"/>
        <v>0.96745125628140705</v>
      </c>
      <c r="Q24" s="3">
        <f t="shared" si="8"/>
        <v>0.65863969849246229</v>
      </c>
    </row>
    <row r="25" spans="1:17" x14ac:dyDescent="0.3">
      <c r="A25" s="1" t="s">
        <v>28</v>
      </c>
      <c r="B25">
        <v>1073.3389999999999</v>
      </c>
      <c r="C25">
        <v>1357.577</v>
      </c>
      <c r="D25">
        <v>2078.998</v>
      </c>
      <c r="E25">
        <v>2078.998</v>
      </c>
      <c r="G25" s="2">
        <f t="shared" si="5"/>
        <v>0</v>
      </c>
      <c r="H25" s="2">
        <f t="shared" si="0"/>
        <v>0</v>
      </c>
      <c r="I25" s="2">
        <f t="shared" si="1"/>
        <v>1</v>
      </c>
      <c r="J25" s="2"/>
      <c r="K25" s="2">
        <f t="shared" si="2"/>
        <v>1</v>
      </c>
      <c r="L25" s="2">
        <f t="shared" si="3"/>
        <v>1</v>
      </c>
      <c r="M25" s="2">
        <f t="shared" si="4"/>
        <v>1</v>
      </c>
      <c r="O25" s="3">
        <f t="shared" si="6"/>
        <v>0.7906284505409269</v>
      </c>
      <c r="P25" s="3">
        <f t="shared" si="7"/>
        <v>0.65299581817779528</v>
      </c>
      <c r="Q25" s="3">
        <f t="shared" si="8"/>
        <v>0.51627707193561512</v>
      </c>
    </row>
    <row r="26" spans="1:17" x14ac:dyDescent="0.3">
      <c r="A26" s="1" t="s">
        <v>29</v>
      </c>
      <c r="B26">
        <v>692</v>
      </c>
      <c r="C26">
        <v>692</v>
      </c>
      <c r="D26">
        <v>692</v>
      </c>
      <c r="E26">
        <v>692</v>
      </c>
      <c r="G26" s="2">
        <f t="shared" si="5"/>
        <v>1</v>
      </c>
      <c r="H26" s="2">
        <f t="shared" si="0"/>
        <v>1</v>
      </c>
      <c r="I26" s="2">
        <f t="shared" si="1"/>
        <v>1</v>
      </c>
      <c r="J26" s="2"/>
      <c r="K26" s="2">
        <f t="shared" si="2"/>
        <v>0</v>
      </c>
      <c r="L26" s="2">
        <f t="shared" si="3"/>
        <v>0</v>
      </c>
      <c r="M26" s="2">
        <f t="shared" si="4"/>
        <v>0</v>
      </c>
      <c r="O26" s="3">
        <f t="shared" si="6"/>
        <v>1</v>
      </c>
      <c r="P26" s="3">
        <f t="shared" si="7"/>
        <v>1</v>
      </c>
      <c r="Q26" s="3">
        <f t="shared" si="8"/>
        <v>1</v>
      </c>
    </row>
    <row r="27" spans="1:17" x14ac:dyDescent="0.3">
      <c r="A27" s="1" t="s">
        <v>30</v>
      </c>
      <c r="B27">
        <v>158</v>
      </c>
      <c r="C27">
        <v>158</v>
      </c>
      <c r="D27">
        <v>158</v>
      </c>
      <c r="E27">
        <v>158</v>
      </c>
      <c r="G27" s="2">
        <f t="shared" si="5"/>
        <v>1</v>
      </c>
      <c r="H27" s="2">
        <f t="shared" si="0"/>
        <v>1</v>
      </c>
      <c r="I27" s="2">
        <f t="shared" si="1"/>
        <v>1</v>
      </c>
      <c r="J27" s="2"/>
      <c r="K27" s="2">
        <f t="shared" si="2"/>
        <v>0</v>
      </c>
      <c r="L27" s="2">
        <f t="shared" si="3"/>
        <v>0</v>
      </c>
      <c r="M27" s="2">
        <f t="shared" si="4"/>
        <v>0</v>
      </c>
      <c r="O27" s="3">
        <f t="shared" si="6"/>
        <v>1</v>
      </c>
      <c r="P27" s="3">
        <f t="shared" si="7"/>
        <v>1</v>
      </c>
      <c r="Q27" s="3">
        <f t="shared" si="8"/>
        <v>1</v>
      </c>
    </row>
    <row r="28" spans="1:17" x14ac:dyDescent="0.3">
      <c r="A28" s="1" t="s">
        <v>31</v>
      </c>
      <c r="B28">
        <v>1000.128</v>
      </c>
      <c r="C28">
        <v>1363.8230000000001</v>
      </c>
      <c r="D28">
        <v>1452.002</v>
      </c>
      <c r="E28">
        <v>1452.002</v>
      </c>
      <c r="G28" s="2">
        <f t="shared" si="5"/>
        <v>0</v>
      </c>
      <c r="H28" s="2">
        <f t="shared" si="0"/>
        <v>0</v>
      </c>
      <c r="I28" s="2">
        <f t="shared" si="1"/>
        <v>1</v>
      </c>
      <c r="J28" s="2"/>
      <c r="K28" s="2">
        <f t="shared" si="2"/>
        <v>1</v>
      </c>
      <c r="L28" s="2">
        <f t="shared" si="3"/>
        <v>1</v>
      </c>
      <c r="M28" s="2">
        <f t="shared" si="4"/>
        <v>1</v>
      </c>
      <c r="O28" s="3">
        <f t="shared" si="6"/>
        <v>0.73332683200092674</v>
      </c>
      <c r="P28" s="3">
        <f t="shared" si="7"/>
        <v>0.9392707448061367</v>
      </c>
      <c r="Q28" s="3">
        <f t="shared" si="8"/>
        <v>0.68879243967983517</v>
      </c>
    </row>
    <row r="29" spans="1:17" x14ac:dyDescent="0.3">
      <c r="A29" s="1" t="s">
        <v>32</v>
      </c>
      <c r="B29">
        <v>283.07100000000003</v>
      </c>
      <c r="C29">
        <v>290</v>
      </c>
      <c r="D29">
        <v>290</v>
      </c>
      <c r="E29">
        <v>290</v>
      </c>
      <c r="G29" s="2">
        <f t="shared" si="5"/>
        <v>0</v>
      </c>
      <c r="H29" s="2">
        <f t="shared" si="0"/>
        <v>1</v>
      </c>
      <c r="I29" s="2">
        <f t="shared" si="1"/>
        <v>1</v>
      </c>
      <c r="J29" s="2"/>
      <c r="K29" s="2">
        <f t="shared" si="2"/>
        <v>1</v>
      </c>
      <c r="L29" s="2">
        <f t="shared" si="3"/>
        <v>0</v>
      </c>
      <c r="M29" s="2">
        <f t="shared" si="4"/>
        <v>1</v>
      </c>
      <c r="O29" s="3">
        <f t="shared" si="6"/>
        <v>0.97610689655172422</v>
      </c>
      <c r="P29" s="3">
        <f t="shared" si="7"/>
        <v>1</v>
      </c>
      <c r="Q29" s="3">
        <f t="shared" si="8"/>
        <v>0.97610689655172422</v>
      </c>
    </row>
    <row r="30" spans="1:17" x14ac:dyDescent="0.3">
      <c r="A30" s="1" t="s">
        <v>33</v>
      </c>
      <c r="B30">
        <v>1154.5409999999999</v>
      </c>
      <c r="C30">
        <v>1218</v>
      </c>
      <c r="D30">
        <v>1218</v>
      </c>
      <c r="E30">
        <v>1218</v>
      </c>
      <c r="G30" s="2">
        <f t="shared" si="5"/>
        <v>0</v>
      </c>
      <c r="H30" s="2">
        <f t="shared" si="0"/>
        <v>1</v>
      </c>
      <c r="I30" s="2">
        <f t="shared" si="1"/>
        <v>1</v>
      </c>
      <c r="J30" s="2"/>
      <c r="K30" s="2">
        <f t="shared" si="2"/>
        <v>1</v>
      </c>
      <c r="L30" s="2">
        <f t="shared" si="3"/>
        <v>0</v>
      </c>
      <c r="M30" s="2">
        <f t="shared" si="4"/>
        <v>1</v>
      </c>
      <c r="O30" s="3">
        <f t="shared" si="6"/>
        <v>0.94789901477832506</v>
      </c>
      <c r="P30" s="3">
        <f t="shared" si="7"/>
        <v>1</v>
      </c>
      <c r="Q30" s="3">
        <f t="shared" si="8"/>
        <v>0.94789901477832506</v>
      </c>
    </row>
    <row r="31" spans="1:17" x14ac:dyDescent="0.3">
      <c r="A31" s="1" t="s">
        <v>34</v>
      </c>
      <c r="B31">
        <v>1267.346</v>
      </c>
      <c r="C31">
        <v>1510</v>
      </c>
      <c r="D31">
        <v>1510</v>
      </c>
      <c r="E31">
        <v>1510</v>
      </c>
      <c r="G31" s="2">
        <f t="shared" si="5"/>
        <v>0</v>
      </c>
      <c r="H31" s="2">
        <f t="shared" si="0"/>
        <v>1</v>
      </c>
      <c r="I31" s="2">
        <f t="shared" si="1"/>
        <v>1</v>
      </c>
      <c r="J31" s="2"/>
      <c r="K31" s="2">
        <f t="shared" si="2"/>
        <v>1</v>
      </c>
      <c r="L31" s="2">
        <f t="shared" si="3"/>
        <v>0</v>
      </c>
      <c r="M31" s="2">
        <f t="shared" si="4"/>
        <v>1</v>
      </c>
      <c r="O31" s="3">
        <f t="shared" si="6"/>
        <v>0.83930198675496692</v>
      </c>
      <c r="P31" s="3">
        <f t="shared" si="7"/>
        <v>1</v>
      </c>
      <c r="Q31" s="3">
        <f t="shared" si="8"/>
        <v>0.83930198675496692</v>
      </c>
    </row>
    <row r="32" spans="1:17" x14ac:dyDescent="0.3">
      <c r="A32" s="1" t="s">
        <v>35</v>
      </c>
      <c r="B32">
        <v>379.87700000000001</v>
      </c>
      <c r="C32">
        <v>424</v>
      </c>
      <c r="D32">
        <v>424</v>
      </c>
      <c r="E32">
        <v>424</v>
      </c>
      <c r="G32" s="2">
        <f t="shared" si="5"/>
        <v>0</v>
      </c>
      <c r="H32" s="2">
        <f t="shared" si="0"/>
        <v>1</v>
      </c>
      <c r="I32" s="2">
        <f t="shared" si="1"/>
        <v>1</v>
      </c>
      <c r="J32" s="2"/>
      <c r="K32" s="2">
        <f t="shared" si="2"/>
        <v>1</v>
      </c>
      <c r="L32" s="2">
        <f t="shared" si="3"/>
        <v>0</v>
      </c>
      <c r="M32" s="2">
        <f t="shared" si="4"/>
        <v>1</v>
      </c>
      <c r="O32" s="3">
        <f t="shared" si="6"/>
        <v>0.89593632075471696</v>
      </c>
      <c r="P32" s="3">
        <f t="shared" si="7"/>
        <v>1</v>
      </c>
      <c r="Q32" s="3">
        <f t="shared" si="8"/>
        <v>0.89593632075471696</v>
      </c>
    </row>
    <row r="33" spans="1:17" x14ac:dyDescent="0.3">
      <c r="A33" s="1" t="s">
        <v>36</v>
      </c>
      <c r="B33">
        <v>980.21199999999999</v>
      </c>
      <c r="C33">
        <v>1292.998</v>
      </c>
      <c r="D33">
        <v>1292.998</v>
      </c>
      <c r="E33">
        <v>1292.998</v>
      </c>
      <c r="G33" s="2">
        <f t="shared" si="5"/>
        <v>0</v>
      </c>
      <c r="H33" s="2">
        <f t="shared" si="0"/>
        <v>1</v>
      </c>
      <c r="I33" s="2">
        <f t="shared" si="1"/>
        <v>1</v>
      </c>
      <c r="J33" s="2"/>
      <c r="K33" s="2">
        <f t="shared" si="2"/>
        <v>1</v>
      </c>
      <c r="L33" s="2">
        <f t="shared" si="3"/>
        <v>0</v>
      </c>
      <c r="M33" s="2">
        <f t="shared" si="4"/>
        <v>1</v>
      </c>
      <c r="O33" s="3">
        <f t="shared" si="6"/>
        <v>0.75809243324428954</v>
      </c>
      <c r="P33" s="3">
        <f t="shared" si="7"/>
        <v>1</v>
      </c>
      <c r="Q33" s="3">
        <f t="shared" si="8"/>
        <v>0.75809243324428954</v>
      </c>
    </row>
    <row r="34" spans="1:17" x14ac:dyDescent="0.3">
      <c r="A34" s="1" t="s">
        <v>37</v>
      </c>
      <c r="B34">
        <v>993.95399999999995</v>
      </c>
      <c r="C34">
        <v>1232.4570000000001</v>
      </c>
      <c r="D34">
        <v>1628.001</v>
      </c>
      <c r="E34">
        <v>1628.001</v>
      </c>
      <c r="G34" s="2">
        <f t="shared" si="5"/>
        <v>0</v>
      </c>
      <c r="H34" s="2">
        <f t="shared" si="0"/>
        <v>0</v>
      </c>
      <c r="I34" s="2">
        <f t="shared" si="1"/>
        <v>1</v>
      </c>
      <c r="J34" s="2"/>
      <c r="K34" s="2">
        <f t="shared" si="2"/>
        <v>1</v>
      </c>
      <c r="L34" s="2">
        <f t="shared" si="3"/>
        <v>1</v>
      </c>
      <c r="M34" s="2">
        <f t="shared" si="4"/>
        <v>1</v>
      </c>
      <c r="O34" s="3">
        <f t="shared" si="6"/>
        <v>0.80648168658216868</v>
      </c>
      <c r="P34" s="3">
        <f t="shared" si="7"/>
        <v>0.75703700427702447</v>
      </c>
      <c r="Q34" s="3">
        <f t="shared" si="8"/>
        <v>0.61053648001444716</v>
      </c>
    </row>
    <row r="35" spans="1:17" x14ac:dyDescent="0.3">
      <c r="A35" s="1" t="s">
        <v>38</v>
      </c>
      <c r="B35">
        <v>450.67099999999999</v>
      </c>
      <c r="C35">
        <v>749.56500000000005</v>
      </c>
      <c r="D35">
        <v>810.00099999999998</v>
      </c>
      <c r="E35">
        <v>810.00099999999998</v>
      </c>
      <c r="G35" s="2">
        <f t="shared" si="5"/>
        <v>0</v>
      </c>
      <c r="H35" s="2">
        <f t="shared" si="0"/>
        <v>0</v>
      </c>
      <c r="I35" s="2">
        <f t="shared" si="1"/>
        <v>1</v>
      </c>
      <c r="J35" s="2"/>
      <c r="K35" s="2">
        <f t="shared" si="2"/>
        <v>1</v>
      </c>
      <c r="L35" s="2">
        <f t="shared" si="3"/>
        <v>1</v>
      </c>
      <c r="M35" s="2">
        <f t="shared" si="4"/>
        <v>1</v>
      </c>
      <c r="O35" s="3">
        <f t="shared" si="6"/>
        <v>0.60124338783160891</v>
      </c>
      <c r="P35" s="3">
        <f t="shared" si="7"/>
        <v>0.92538774643488109</v>
      </c>
      <c r="Q35" s="3">
        <f t="shared" si="8"/>
        <v>0.55638326372436575</v>
      </c>
    </row>
    <row r="36" spans="1:17" x14ac:dyDescent="0.3">
      <c r="A36" s="1" t="s">
        <v>39</v>
      </c>
      <c r="B36">
        <v>731.04</v>
      </c>
      <c r="C36">
        <v>1188.9280000000001</v>
      </c>
      <c r="D36">
        <v>1298</v>
      </c>
      <c r="E36">
        <v>1298</v>
      </c>
      <c r="G36" s="2">
        <f t="shared" si="5"/>
        <v>0</v>
      </c>
      <c r="H36" s="2">
        <f t="shared" si="0"/>
        <v>0</v>
      </c>
      <c r="I36" s="2">
        <f t="shared" si="1"/>
        <v>1</v>
      </c>
      <c r="J36" s="2"/>
      <c r="K36" s="2">
        <f t="shared" si="2"/>
        <v>1</v>
      </c>
      <c r="L36" s="2">
        <f t="shared" si="3"/>
        <v>1</v>
      </c>
      <c r="M36" s="2">
        <f t="shared" si="4"/>
        <v>1</v>
      </c>
      <c r="O36" s="3">
        <f t="shared" si="6"/>
        <v>0.61487323033859065</v>
      </c>
      <c r="P36" s="3">
        <f t="shared" si="7"/>
        <v>0.91596918335901401</v>
      </c>
      <c r="Q36" s="3">
        <f t="shared" si="8"/>
        <v>0.56320493066255772</v>
      </c>
    </row>
    <row r="37" spans="1:17" x14ac:dyDescent="0.3">
      <c r="A37" s="1" t="s">
        <v>40</v>
      </c>
      <c r="B37">
        <v>255.64500000000001</v>
      </c>
      <c r="C37">
        <v>286</v>
      </c>
      <c r="D37">
        <v>286</v>
      </c>
      <c r="E37">
        <v>286</v>
      </c>
      <c r="G37" s="2">
        <f t="shared" si="5"/>
        <v>0</v>
      </c>
      <c r="H37" s="2">
        <f t="shared" si="0"/>
        <v>1</v>
      </c>
      <c r="I37" s="2">
        <f t="shared" si="1"/>
        <v>1</v>
      </c>
      <c r="J37" s="2"/>
      <c r="K37" s="2">
        <f t="shared" si="2"/>
        <v>1</v>
      </c>
      <c r="L37" s="2">
        <f t="shared" si="3"/>
        <v>0</v>
      </c>
      <c r="M37" s="2">
        <f t="shared" si="4"/>
        <v>1</v>
      </c>
      <c r="O37" s="3">
        <f t="shared" si="6"/>
        <v>0.89386363636363642</v>
      </c>
      <c r="P37" s="3">
        <f t="shared" si="7"/>
        <v>1</v>
      </c>
      <c r="Q37" s="3">
        <f t="shared" si="8"/>
        <v>0.89386363636363642</v>
      </c>
    </row>
    <row r="38" spans="1:17" x14ac:dyDescent="0.3">
      <c r="A38" s="1" t="s">
        <v>41</v>
      </c>
      <c r="B38">
        <v>227.721</v>
      </c>
      <c r="C38">
        <v>341.25200000000001</v>
      </c>
      <c r="D38">
        <v>374</v>
      </c>
      <c r="E38">
        <v>374</v>
      </c>
      <c r="G38" s="2">
        <f t="shared" si="5"/>
        <v>0</v>
      </c>
      <c r="H38" s="2">
        <f t="shared" si="0"/>
        <v>0</v>
      </c>
      <c r="I38" s="2">
        <f t="shared" si="1"/>
        <v>1</v>
      </c>
      <c r="J38" s="2"/>
      <c r="K38" s="2">
        <f t="shared" si="2"/>
        <v>1</v>
      </c>
      <c r="L38" s="2">
        <f t="shared" si="3"/>
        <v>1</v>
      </c>
      <c r="M38" s="2">
        <f t="shared" si="4"/>
        <v>1</v>
      </c>
      <c r="O38" s="3">
        <f t="shared" si="6"/>
        <v>0.66731037473773047</v>
      </c>
      <c r="P38" s="3">
        <f t="shared" si="7"/>
        <v>0.91243850267379678</v>
      </c>
      <c r="Q38" s="3">
        <f t="shared" si="8"/>
        <v>0.60887967914438501</v>
      </c>
    </row>
    <row r="39" spans="1:17" x14ac:dyDescent="0.3">
      <c r="A39" s="1" t="s">
        <v>42</v>
      </c>
      <c r="B39">
        <v>195</v>
      </c>
      <c r="C39">
        <v>195</v>
      </c>
      <c r="D39">
        <v>195</v>
      </c>
      <c r="E39">
        <v>195</v>
      </c>
      <c r="G39" s="2">
        <f t="shared" si="5"/>
        <v>1</v>
      </c>
      <c r="H39" s="2">
        <f t="shared" si="0"/>
        <v>1</v>
      </c>
      <c r="I39" s="2">
        <f t="shared" si="1"/>
        <v>1</v>
      </c>
      <c r="J39" s="2"/>
      <c r="K39" s="2">
        <f t="shared" si="2"/>
        <v>0</v>
      </c>
      <c r="L39" s="2">
        <f t="shared" si="3"/>
        <v>0</v>
      </c>
      <c r="M39" s="2">
        <f t="shared" si="4"/>
        <v>0</v>
      </c>
      <c r="O39" s="3">
        <f t="shared" si="6"/>
        <v>1</v>
      </c>
      <c r="P39" s="3">
        <f t="shared" si="7"/>
        <v>1</v>
      </c>
      <c r="Q39" s="3">
        <f t="shared" si="8"/>
        <v>1</v>
      </c>
    </row>
    <row r="40" spans="1:17" x14ac:dyDescent="0.3">
      <c r="A40" s="1" t="s">
        <v>43</v>
      </c>
      <c r="B40">
        <v>258.75</v>
      </c>
      <c r="C40">
        <v>402.76499999999999</v>
      </c>
      <c r="D40">
        <v>634</v>
      </c>
      <c r="E40">
        <v>634</v>
      </c>
      <c r="G40" s="2">
        <f t="shared" si="5"/>
        <v>0</v>
      </c>
      <c r="H40" s="2">
        <f t="shared" si="0"/>
        <v>0</v>
      </c>
      <c r="I40" s="2">
        <f t="shared" si="1"/>
        <v>1</v>
      </c>
      <c r="J40" s="2"/>
      <c r="K40" s="2">
        <f t="shared" si="2"/>
        <v>1</v>
      </c>
      <c r="L40" s="2">
        <f t="shared" si="3"/>
        <v>1</v>
      </c>
      <c r="M40" s="2">
        <f t="shared" si="4"/>
        <v>1</v>
      </c>
      <c r="O40" s="3">
        <f t="shared" si="6"/>
        <v>0.64243417377378875</v>
      </c>
      <c r="P40" s="3">
        <f t="shared" si="7"/>
        <v>0.63527602523659299</v>
      </c>
      <c r="Q40" s="3">
        <f t="shared" si="8"/>
        <v>0.40812302839116721</v>
      </c>
    </row>
    <row r="41" spans="1:17" x14ac:dyDescent="0.3">
      <c r="A41" s="1" t="s">
        <v>44</v>
      </c>
      <c r="B41">
        <v>258.94400000000002</v>
      </c>
      <c r="C41">
        <v>314</v>
      </c>
      <c r="D41">
        <v>314</v>
      </c>
      <c r="E41">
        <v>314</v>
      </c>
      <c r="G41" s="2">
        <f t="shared" si="5"/>
        <v>0</v>
      </c>
      <c r="H41" s="2">
        <f t="shared" si="0"/>
        <v>1</v>
      </c>
      <c r="I41" s="2">
        <f t="shared" si="1"/>
        <v>1</v>
      </c>
      <c r="J41" s="2"/>
      <c r="K41" s="2">
        <f t="shared" si="2"/>
        <v>1</v>
      </c>
      <c r="L41" s="2">
        <f t="shared" si="3"/>
        <v>0</v>
      </c>
      <c r="M41" s="2">
        <f t="shared" si="4"/>
        <v>1</v>
      </c>
      <c r="O41" s="3">
        <f t="shared" si="6"/>
        <v>0.82466242038216564</v>
      </c>
      <c r="P41" s="3">
        <f t="shared" si="7"/>
        <v>1</v>
      </c>
      <c r="Q41" s="3">
        <f t="shared" si="8"/>
        <v>0.82466242038216564</v>
      </c>
    </row>
    <row r="42" spans="1:17" x14ac:dyDescent="0.3">
      <c r="A42" s="1" t="s">
        <v>45</v>
      </c>
      <c r="B42">
        <v>964.01300000000003</v>
      </c>
      <c r="C42">
        <v>1264.07</v>
      </c>
      <c r="D42">
        <v>2054</v>
      </c>
      <c r="E42">
        <v>2054</v>
      </c>
      <c r="G42" s="2">
        <f t="shared" si="5"/>
        <v>0</v>
      </c>
      <c r="H42" s="2">
        <f t="shared" si="0"/>
        <v>0</v>
      </c>
      <c r="I42" s="2">
        <f t="shared" si="1"/>
        <v>1</v>
      </c>
      <c r="J42" s="2"/>
      <c r="K42" s="2">
        <f t="shared" si="2"/>
        <v>1</v>
      </c>
      <c r="L42" s="2">
        <f t="shared" si="3"/>
        <v>1</v>
      </c>
      <c r="M42" s="2">
        <f t="shared" si="4"/>
        <v>1</v>
      </c>
      <c r="O42" s="3">
        <f t="shared" si="6"/>
        <v>0.76262627860798859</v>
      </c>
      <c r="P42" s="3">
        <f t="shared" si="7"/>
        <v>0.61541869522882175</v>
      </c>
      <c r="Q42" s="3">
        <f t="shared" si="8"/>
        <v>0.46933446932814021</v>
      </c>
    </row>
    <row r="43" spans="1:17" x14ac:dyDescent="0.3">
      <c r="A43" s="1" t="s">
        <v>46</v>
      </c>
      <c r="B43">
        <v>1803.001</v>
      </c>
      <c r="C43">
        <v>1803.001</v>
      </c>
      <c r="D43">
        <v>1803.001</v>
      </c>
      <c r="E43">
        <v>1803.001</v>
      </c>
      <c r="G43" s="2">
        <f t="shared" si="5"/>
        <v>1</v>
      </c>
      <c r="H43" s="2">
        <f t="shared" si="0"/>
        <v>1</v>
      </c>
      <c r="I43" s="2">
        <f t="shared" si="1"/>
        <v>1</v>
      </c>
      <c r="J43" s="2"/>
      <c r="K43" s="2">
        <f t="shared" si="2"/>
        <v>0</v>
      </c>
      <c r="L43" s="2">
        <f t="shared" si="3"/>
        <v>0</v>
      </c>
      <c r="M43" s="2">
        <f t="shared" si="4"/>
        <v>0</v>
      </c>
      <c r="O43" s="3">
        <f t="shared" si="6"/>
        <v>1</v>
      </c>
      <c r="P43" s="3">
        <f t="shared" si="7"/>
        <v>1</v>
      </c>
      <c r="Q43" s="3">
        <f t="shared" si="8"/>
        <v>1</v>
      </c>
    </row>
    <row r="44" spans="1:17" x14ac:dyDescent="0.3">
      <c r="A44" s="1" t="s">
        <v>47</v>
      </c>
      <c r="B44">
        <v>266.43299999999999</v>
      </c>
      <c r="C44">
        <v>431</v>
      </c>
      <c r="D44">
        <v>431</v>
      </c>
      <c r="E44">
        <v>431</v>
      </c>
      <c r="G44" s="2">
        <f t="shared" si="5"/>
        <v>0</v>
      </c>
      <c r="H44" s="2">
        <f t="shared" si="0"/>
        <v>1</v>
      </c>
      <c r="I44" s="2">
        <f t="shared" si="1"/>
        <v>1</v>
      </c>
      <c r="J44" s="2"/>
      <c r="K44" s="2">
        <f t="shared" si="2"/>
        <v>1</v>
      </c>
      <c r="L44" s="2">
        <f t="shared" si="3"/>
        <v>0</v>
      </c>
      <c r="M44" s="2">
        <f t="shared" si="4"/>
        <v>1</v>
      </c>
      <c r="O44" s="3">
        <f t="shared" si="6"/>
        <v>0.61817401392111371</v>
      </c>
      <c r="P44" s="3">
        <f t="shared" si="7"/>
        <v>1</v>
      </c>
      <c r="Q44" s="3">
        <f t="shared" si="8"/>
        <v>0.61817401392111371</v>
      </c>
    </row>
    <row r="45" spans="1:17" x14ac:dyDescent="0.3">
      <c r="A45" s="1" t="s">
        <v>48</v>
      </c>
      <c r="B45">
        <v>1091.674</v>
      </c>
      <c r="C45">
        <v>1281.3589999999999</v>
      </c>
      <c r="D45">
        <v>1903</v>
      </c>
      <c r="E45">
        <v>1903</v>
      </c>
      <c r="G45" s="2">
        <f t="shared" si="5"/>
        <v>0</v>
      </c>
      <c r="H45" s="2">
        <f t="shared" si="0"/>
        <v>0</v>
      </c>
      <c r="I45" s="2">
        <f t="shared" si="1"/>
        <v>1</v>
      </c>
      <c r="J45" s="2"/>
      <c r="K45" s="2">
        <f t="shared" si="2"/>
        <v>1</v>
      </c>
      <c r="L45" s="2">
        <f t="shared" si="3"/>
        <v>1</v>
      </c>
      <c r="M45" s="2">
        <f t="shared" si="4"/>
        <v>1</v>
      </c>
      <c r="O45" s="3">
        <f t="shared" si="6"/>
        <v>0.85196576447350048</v>
      </c>
      <c r="P45" s="3">
        <f t="shared" si="7"/>
        <v>0.67333631108775616</v>
      </c>
      <c r="Q45" s="3">
        <f t="shared" si="8"/>
        <v>0.57365948502364683</v>
      </c>
    </row>
    <row r="46" spans="1:17" x14ac:dyDescent="0.3">
      <c r="A46" s="1" t="s">
        <v>49</v>
      </c>
      <c r="B46">
        <v>380.24900000000002</v>
      </c>
      <c r="C46">
        <v>799.99900000000002</v>
      </c>
      <c r="D46">
        <v>799.99900000000002</v>
      </c>
      <c r="E46">
        <v>799.99900000000002</v>
      </c>
      <c r="G46" s="2">
        <f t="shared" si="5"/>
        <v>0</v>
      </c>
      <c r="H46" s="2">
        <f t="shared" si="0"/>
        <v>1</v>
      </c>
      <c r="I46" s="2">
        <f t="shared" si="1"/>
        <v>1</v>
      </c>
      <c r="J46" s="2"/>
      <c r="K46" s="2">
        <f t="shared" si="2"/>
        <v>1</v>
      </c>
      <c r="L46" s="2">
        <f t="shared" si="3"/>
        <v>0</v>
      </c>
      <c r="M46" s="2">
        <f t="shared" si="4"/>
        <v>1</v>
      </c>
      <c r="O46" s="3">
        <f t="shared" si="6"/>
        <v>0.47531184413980521</v>
      </c>
      <c r="P46" s="3">
        <f t="shared" si="7"/>
        <v>1</v>
      </c>
      <c r="Q46" s="3">
        <f t="shared" si="8"/>
        <v>0.47531184413980521</v>
      </c>
    </row>
    <row r="47" spans="1:17" x14ac:dyDescent="0.3">
      <c r="A47" s="1" t="s">
        <v>50</v>
      </c>
      <c r="B47">
        <v>1085.326</v>
      </c>
      <c r="C47">
        <v>1395.308</v>
      </c>
      <c r="D47">
        <v>1603.9960000000001</v>
      </c>
      <c r="E47">
        <v>1603.9960000000001</v>
      </c>
      <c r="G47" s="2">
        <f t="shared" si="5"/>
        <v>0</v>
      </c>
      <c r="H47" s="2">
        <f t="shared" si="0"/>
        <v>0</v>
      </c>
      <c r="I47" s="2">
        <f t="shared" si="1"/>
        <v>1</v>
      </c>
      <c r="J47" s="2"/>
      <c r="K47" s="2">
        <f t="shared" si="2"/>
        <v>1</v>
      </c>
      <c r="L47" s="2">
        <f t="shared" si="3"/>
        <v>1</v>
      </c>
      <c r="M47" s="2">
        <f t="shared" si="4"/>
        <v>1</v>
      </c>
      <c r="O47" s="3">
        <f t="shared" si="6"/>
        <v>0.77783973144280694</v>
      </c>
      <c r="P47" s="3">
        <f t="shared" si="7"/>
        <v>0.86989493739385881</v>
      </c>
      <c r="Q47" s="3">
        <f t="shared" si="8"/>
        <v>0.6766388444858964</v>
      </c>
    </row>
    <row r="48" spans="1:17" x14ac:dyDescent="0.3">
      <c r="A48" s="1" t="s">
        <v>51</v>
      </c>
      <c r="B48">
        <v>1239.3499999999999</v>
      </c>
      <c r="C48">
        <v>1487.2180000000001</v>
      </c>
      <c r="D48">
        <v>1499.998</v>
      </c>
      <c r="E48">
        <v>1499.998</v>
      </c>
      <c r="G48" s="2">
        <f t="shared" si="5"/>
        <v>0</v>
      </c>
      <c r="H48" s="2">
        <f t="shared" si="0"/>
        <v>0</v>
      </c>
      <c r="I48" s="2">
        <f t="shared" si="1"/>
        <v>1</v>
      </c>
      <c r="J48" s="2"/>
      <c r="K48" s="2">
        <f t="shared" si="2"/>
        <v>1</v>
      </c>
      <c r="L48" s="2">
        <f t="shared" si="3"/>
        <v>1</v>
      </c>
      <c r="M48" s="2">
        <f t="shared" si="4"/>
        <v>1</v>
      </c>
      <c r="O48" s="3">
        <f t="shared" si="6"/>
        <v>0.83333445399396711</v>
      </c>
      <c r="P48" s="3">
        <f t="shared" si="7"/>
        <v>0.99147998863998488</v>
      </c>
      <c r="Q48" s="3">
        <f t="shared" si="8"/>
        <v>0.82623443497924653</v>
      </c>
    </row>
    <row r="49" spans="1:17" x14ac:dyDescent="0.3">
      <c r="A49" s="1" t="s">
        <v>52</v>
      </c>
      <c r="B49">
        <v>1440.7380000000001</v>
      </c>
      <c r="C49">
        <v>1675.9760000000001</v>
      </c>
      <c r="D49">
        <v>1779.001</v>
      </c>
      <c r="E49">
        <v>1779.001</v>
      </c>
      <c r="G49" s="2">
        <f t="shared" si="5"/>
        <v>0</v>
      </c>
      <c r="H49" s="2">
        <f t="shared" si="0"/>
        <v>0</v>
      </c>
      <c r="I49" s="2">
        <f t="shared" si="1"/>
        <v>1</v>
      </c>
      <c r="J49" s="2"/>
      <c r="K49" s="2">
        <f t="shared" si="2"/>
        <v>1</v>
      </c>
      <c r="L49" s="2">
        <f t="shared" si="3"/>
        <v>1</v>
      </c>
      <c r="M49" s="2">
        <f t="shared" si="4"/>
        <v>1</v>
      </c>
      <c r="O49" s="3">
        <f t="shared" si="6"/>
        <v>0.85964118817930568</v>
      </c>
      <c r="P49" s="3">
        <f t="shared" si="7"/>
        <v>0.94208828437982894</v>
      </c>
      <c r="Q49" s="3">
        <f t="shared" si="8"/>
        <v>0.80985789215407977</v>
      </c>
    </row>
    <row r="50" spans="1:17" x14ac:dyDescent="0.3">
      <c r="A50" s="1" t="s">
        <v>53</v>
      </c>
      <c r="B50">
        <v>1345.8440000000001</v>
      </c>
      <c r="C50">
        <v>1895.9939999999999</v>
      </c>
      <c r="D50">
        <v>1895.9939999999999</v>
      </c>
      <c r="E50">
        <v>1895.9939999999999</v>
      </c>
      <c r="G50" s="2">
        <f t="shared" si="5"/>
        <v>0</v>
      </c>
      <c r="H50" s="2">
        <f t="shared" si="0"/>
        <v>1</v>
      </c>
      <c r="I50" s="2">
        <f t="shared" si="1"/>
        <v>1</v>
      </c>
      <c r="J50" s="2"/>
      <c r="K50" s="2">
        <f t="shared" si="2"/>
        <v>1</v>
      </c>
      <c r="L50" s="2">
        <f t="shared" si="3"/>
        <v>0</v>
      </c>
      <c r="M50" s="2">
        <f t="shared" si="4"/>
        <v>1</v>
      </c>
      <c r="O50" s="3">
        <f t="shared" si="6"/>
        <v>0.70983557964845889</v>
      </c>
      <c r="P50" s="3">
        <f t="shared" si="7"/>
        <v>1</v>
      </c>
      <c r="Q50" s="3">
        <f t="shared" si="8"/>
        <v>0.70983557964845889</v>
      </c>
    </row>
    <row r="51" spans="1:17" x14ac:dyDescent="0.3">
      <c r="A51" s="1" t="s">
        <v>54</v>
      </c>
      <c r="B51">
        <v>738.303</v>
      </c>
      <c r="C51">
        <v>1102.9169999999999</v>
      </c>
      <c r="D51">
        <v>1264</v>
      </c>
      <c r="E51">
        <v>1264</v>
      </c>
      <c r="G51" s="2">
        <f t="shared" si="5"/>
        <v>0</v>
      </c>
      <c r="H51" s="2">
        <f t="shared" si="0"/>
        <v>0</v>
      </c>
      <c r="I51" s="2">
        <f t="shared" si="1"/>
        <v>1</v>
      </c>
      <c r="J51" s="2"/>
      <c r="K51" s="2">
        <f t="shared" si="2"/>
        <v>1</v>
      </c>
      <c r="L51" s="2">
        <f t="shared" si="3"/>
        <v>1</v>
      </c>
      <c r="M51" s="2">
        <f t="shared" si="4"/>
        <v>1</v>
      </c>
      <c r="O51" s="3">
        <f t="shared" si="6"/>
        <v>0.6694093934539046</v>
      </c>
      <c r="P51" s="3">
        <f t="shared" si="7"/>
        <v>0.87256091772151889</v>
      </c>
      <c r="Q51" s="3">
        <f t="shared" si="8"/>
        <v>0.58410047468354431</v>
      </c>
    </row>
    <row r="52" spans="1:17" x14ac:dyDescent="0.3">
      <c r="A52" s="1" t="s">
        <v>55</v>
      </c>
      <c r="B52">
        <v>1061.7329999999999</v>
      </c>
      <c r="C52">
        <v>1177.001</v>
      </c>
      <c r="D52">
        <v>1177.001</v>
      </c>
      <c r="E52">
        <v>1177.001</v>
      </c>
      <c r="G52" s="2">
        <f t="shared" si="5"/>
        <v>0</v>
      </c>
      <c r="H52" s="2">
        <f t="shared" si="0"/>
        <v>1</v>
      </c>
      <c r="I52" s="2">
        <f t="shared" si="1"/>
        <v>1</v>
      </c>
      <c r="J52" s="2"/>
      <c r="K52" s="2">
        <f t="shared" si="2"/>
        <v>1</v>
      </c>
      <c r="L52" s="2">
        <f t="shared" si="3"/>
        <v>0</v>
      </c>
      <c r="M52" s="2">
        <f t="shared" si="4"/>
        <v>1</v>
      </c>
      <c r="O52" s="3">
        <f t="shared" si="6"/>
        <v>0.90206635338457652</v>
      </c>
      <c r="P52" s="3">
        <f t="shared" si="7"/>
        <v>1</v>
      </c>
      <c r="Q52" s="3">
        <f t="shared" si="8"/>
        <v>0.90206635338457652</v>
      </c>
    </row>
    <row r="53" spans="1:17" x14ac:dyDescent="0.3">
      <c r="A53" s="1" t="s">
        <v>56</v>
      </c>
      <c r="B53">
        <v>1261.7929999999999</v>
      </c>
      <c r="C53">
        <v>1433.2619999999999</v>
      </c>
      <c r="D53">
        <v>2169.998</v>
      </c>
      <c r="E53">
        <v>2169.998</v>
      </c>
      <c r="G53" s="2">
        <f t="shared" si="5"/>
        <v>0</v>
      </c>
      <c r="H53" s="2">
        <f t="shared" si="0"/>
        <v>0</v>
      </c>
      <c r="I53" s="2">
        <f t="shared" si="1"/>
        <v>1</v>
      </c>
      <c r="J53" s="2"/>
      <c r="K53" s="2">
        <f t="shared" si="2"/>
        <v>1</v>
      </c>
      <c r="L53" s="2">
        <f t="shared" si="3"/>
        <v>1</v>
      </c>
      <c r="M53" s="2">
        <f t="shared" si="4"/>
        <v>1</v>
      </c>
      <c r="O53" s="3">
        <f t="shared" si="6"/>
        <v>0.88036451116404391</v>
      </c>
      <c r="P53" s="3">
        <f t="shared" si="7"/>
        <v>0.66049000966821159</v>
      </c>
      <c r="Q53" s="3">
        <f t="shared" si="8"/>
        <v>0.58147196449028982</v>
      </c>
    </row>
    <row r="54" spans="1:17" x14ac:dyDescent="0.3">
      <c r="A54" s="1" t="s">
        <v>57</v>
      </c>
      <c r="B54">
        <v>829.10900000000004</v>
      </c>
      <c r="C54">
        <v>988</v>
      </c>
      <c r="D54">
        <v>988</v>
      </c>
      <c r="E54">
        <v>988</v>
      </c>
      <c r="G54" s="2">
        <f t="shared" si="5"/>
        <v>0</v>
      </c>
      <c r="H54" s="2">
        <f t="shared" si="0"/>
        <v>1</v>
      </c>
      <c r="I54" s="2">
        <f t="shared" si="1"/>
        <v>1</v>
      </c>
      <c r="J54" s="2"/>
      <c r="K54" s="2">
        <f t="shared" si="2"/>
        <v>1</v>
      </c>
      <c r="L54" s="2">
        <f t="shared" si="3"/>
        <v>0</v>
      </c>
      <c r="M54" s="2">
        <f t="shared" si="4"/>
        <v>1</v>
      </c>
      <c r="O54" s="3">
        <f t="shared" si="6"/>
        <v>0.83917914979757091</v>
      </c>
      <c r="P54" s="3">
        <f t="shared" si="7"/>
        <v>1</v>
      </c>
      <c r="Q54" s="3">
        <f t="shared" si="8"/>
        <v>0.83917914979757091</v>
      </c>
    </row>
    <row r="55" spans="1:17" x14ac:dyDescent="0.3">
      <c r="A55" s="1" t="s">
        <v>58</v>
      </c>
      <c r="B55">
        <v>1542.7550000000001</v>
      </c>
      <c r="C55">
        <v>1563.999</v>
      </c>
      <c r="D55">
        <v>1563.999</v>
      </c>
      <c r="E55">
        <v>1563.999</v>
      </c>
      <c r="G55" s="2">
        <f t="shared" si="5"/>
        <v>0</v>
      </c>
      <c r="H55" s="2">
        <f t="shared" si="0"/>
        <v>1</v>
      </c>
      <c r="I55" s="2">
        <f t="shared" si="1"/>
        <v>1</v>
      </c>
      <c r="J55" s="2"/>
      <c r="K55" s="2">
        <f t="shared" si="2"/>
        <v>1</v>
      </c>
      <c r="L55" s="2">
        <f t="shared" si="3"/>
        <v>0</v>
      </c>
      <c r="M55" s="2">
        <f t="shared" si="4"/>
        <v>1</v>
      </c>
      <c r="O55" s="3">
        <f t="shared" si="6"/>
        <v>0.98641687111053145</v>
      </c>
      <c r="P55" s="3">
        <f t="shared" si="7"/>
        <v>1</v>
      </c>
      <c r="Q55" s="3">
        <f t="shared" si="8"/>
        <v>0.98641687111053145</v>
      </c>
    </row>
    <row r="56" spans="1:17" x14ac:dyDescent="0.3">
      <c r="A56" s="1" t="s">
        <v>59</v>
      </c>
      <c r="B56">
        <v>704.952</v>
      </c>
      <c r="C56">
        <v>874.99800000000005</v>
      </c>
      <c r="D56">
        <v>874.99800000000005</v>
      </c>
      <c r="E56">
        <v>874.99800000000005</v>
      </c>
      <c r="G56" s="2">
        <f t="shared" si="5"/>
        <v>0</v>
      </c>
      <c r="H56" s="2">
        <f t="shared" si="0"/>
        <v>1</v>
      </c>
      <c r="I56" s="2">
        <f t="shared" si="1"/>
        <v>1</v>
      </c>
      <c r="J56" s="2"/>
      <c r="K56" s="2">
        <f t="shared" si="2"/>
        <v>1</v>
      </c>
      <c r="L56" s="2">
        <f t="shared" si="3"/>
        <v>0</v>
      </c>
      <c r="M56" s="2">
        <f t="shared" si="4"/>
        <v>1</v>
      </c>
      <c r="O56" s="3">
        <f t="shared" si="6"/>
        <v>0.805661270082903</v>
      </c>
      <c r="P56" s="3">
        <f t="shared" si="7"/>
        <v>1</v>
      </c>
      <c r="Q56" s="3">
        <f t="shared" si="8"/>
        <v>0.805661270082903</v>
      </c>
    </row>
    <row r="57" spans="1:17" x14ac:dyDescent="0.3">
      <c r="A57" s="1" t="s">
        <v>60</v>
      </c>
      <c r="B57">
        <v>642.15899999999999</v>
      </c>
      <c r="C57">
        <v>964</v>
      </c>
      <c r="D57">
        <v>964</v>
      </c>
      <c r="E57">
        <v>964</v>
      </c>
      <c r="G57" s="2">
        <f t="shared" si="5"/>
        <v>0</v>
      </c>
      <c r="H57" s="2">
        <f t="shared" si="0"/>
        <v>1</v>
      </c>
      <c r="I57" s="2">
        <f t="shared" si="1"/>
        <v>1</v>
      </c>
      <c r="J57" s="2"/>
      <c r="K57" s="2">
        <f t="shared" si="2"/>
        <v>1</v>
      </c>
      <c r="L57" s="2">
        <f t="shared" si="3"/>
        <v>0</v>
      </c>
      <c r="M57" s="2">
        <f t="shared" si="4"/>
        <v>1</v>
      </c>
      <c r="O57" s="3">
        <f t="shared" si="6"/>
        <v>0.66614004149377593</v>
      </c>
      <c r="P57" s="3">
        <f t="shared" si="7"/>
        <v>1</v>
      </c>
      <c r="Q57" s="3">
        <f t="shared" si="8"/>
        <v>0.66614004149377593</v>
      </c>
    </row>
    <row r="58" spans="1:17" x14ac:dyDescent="0.3">
      <c r="A58" s="1" t="s">
        <v>61</v>
      </c>
      <c r="B58">
        <v>1577.42</v>
      </c>
      <c r="C58">
        <v>2218.0010000000002</v>
      </c>
      <c r="D58">
        <v>2218.0010000000002</v>
      </c>
      <c r="E58">
        <v>2218.0010000000002</v>
      </c>
      <c r="G58" s="2">
        <f t="shared" si="5"/>
        <v>0</v>
      </c>
      <c r="H58" s="2">
        <f t="shared" si="0"/>
        <v>1</v>
      </c>
      <c r="I58" s="2">
        <f t="shared" si="1"/>
        <v>1</v>
      </c>
      <c r="J58" s="2"/>
      <c r="K58" s="2">
        <f t="shared" si="2"/>
        <v>1</v>
      </c>
      <c r="L58" s="2">
        <f t="shared" si="3"/>
        <v>0</v>
      </c>
      <c r="M58" s="2">
        <f t="shared" si="4"/>
        <v>1</v>
      </c>
      <c r="O58" s="3">
        <f t="shared" si="6"/>
        <v>0.71118994085214571</v>
      </c>
      <c r="P58" s="3">
        <f t="shared" si="7"/>
        <v>1</v>
      </c>
      <c r="Q58" s="3">
        <f t="shared" si="8"/>
        <v>0.71118994085214571</v>
      </c>
    </row>
    <row r="59" spans="1:17" x14ac:dyDescent="0.3">
      <c r="A59" s="1" t="s">
        <v>62</v>
      </c>
      <c r="B59">
        <v>275.928</v>
      </c>
      <c r="C59">
        <v>356.99900000000002</v>
      </c>
      <c r="D59">
        <v>356.99900000000002</v>
      </c>
      <c r="E59">
        <v>356.99900000000002</v>
      </c>
      <c r="G59" s="2">
        <f t="shared" si="5"/>
        <v>0</v>
      </c>
      <c r="H59" s="2">
        <f t="shared" si="0"/>
        <v>1</v>
      </c>
      <c r="I59" s="2">
        <f t="shared" si="1"/>
        <v>1</v>
      </c>
      <c r="J59" s="2"/>
      <c r="K59" s="2">
        <f t="shared" si="2"/>
        <v>1</v>
      </c>
      <c r="L59" s="2">
        <f t="shared" si="3"/>
        <v>0</v>
      </c>
      <c r="M59" s="2">
        <f t="shared" si="4"/>
        <v>1</v>
      </c>
      <c r="O59" s="3">
        <f t="shared" si="6"/>
        <v>0.77290972803845381</v>
      </c>
      <c r="P59" s="3">
        <f t="shared" si="7"/>
        <v>1</v>
      </c>
      <c r="Q59" s="3">
        <f t="shared" si="8"/>
        <v>0.77290972803845381</v>
      </c>
    </row>
    <row r="60" spans="1:17" x14ac:dyDescent="0.3">
      <c r="A60" s="1" t="s">
        <v>63</v>
      </c>
      <c r="B60">
        <v>299.61700000000002</v>
      </c>
      <c r="C60">
        <v>465.99</v>
      </c>
      <c r="D60">
        <v>465.99</v>
      </c>
      <c r="E60">
        <v>547.00199999999995</v>
      </c>
      <c r="G60" s="2">
        <f t="shared" si="5"/>
        <v>0</v>
      </c>
      <c r="H60" s="2">
        <f t="shared" si="0"/>
        <v>0</v>
      </c>
      <c r="I60" s="2">
        <f t="shared" si="1"/>
        <v>0</v>
      </c>
      <c r="J60" s="2"/>
      <c r="K60" s="2">
        <f t="shared" si="2"/>
        <v>1</v>
      </c>
      <c r="L60" s="2">
        <f t="shared" si="3"/>
        <v>0</v>
      </c>
      <c r="M60" s="2">
        <f t="shared" si="4"/>
        <v>1</v>
      </c>
      <c r="O60" s="3">
        <f t="shared" si="6"/>
        <v>0.64296873323461878</v>
      </c>
      <c r="P60" s="3">
        <f t="shared" si="7"/>
        <v>1</v>
      </c>
      <c r="Q60" s="3">
        <f t="shared" si="8"/>
        <v>0.64296873323461878</v>
      </c>
    </row>
    <row r="61" spans="1:17" x14ac:dyDescent="0.3">
      <c r="A61" s="1" t="s">
        <v>64</v>
      </c>
      <c r="B61">
        <v>100.81</v>
      </c>
      <c r="C61">
        <v>120.376</v>
      </c>
      <c r="D61">
        <v>191.376</v>
      </c>
      <c r="E61">
        <v>253.999</v>
      </c>
      <c r="G61" s="2">
        <f t="shared" si="5"/>
        <v>0</v>
      </c>
      <c r="H61" s="2">
        <f t="shared" si="0"/>
        <v>0</v>
      </c>
      <c r="I61" s="2">
        <f t="shared" si="1"/>
        <v>0</v>
      </c>
      <c r="J61" s="2"/>
      <c r="K61" s="2">
        <f t="shared" si="2"/>
        <v>1</v>
      </c>
      <c r="L61" s="2">
        <f t="shared" si="3"/>
        <v>1</v>
      </c>
      <c r="M61" s="2">
        <f t="shared" si="4"/>
        <v>1</v>
      </c>
      <c r="O61" s="3">
        <f t="shared" si="6"/>
        <v>0.8374592942114707</v>
      </c>
      <c r="P61" s="3">
        <f t="shared" si="7"/>
        <v>0.62900259175654205</v>
      </c>
      <c r="Q61" s="3">
        <f t="shared" si="8"/>
        <v>0.5267640665496196</v>
      </c>
    </row>
    <row r="62" spans="1:17" x14ac:dyDescent="0.3">
      <c r="A62" s="1" t="s">
        <v>65</v>
      </c>
      <c r="B62">
        <v>76.382999999999996</v>
      </c>
      <c r="C62">
        <v>97.738</v>
      </c>
      <c r="D62">
        <v>97.738</v>
      </c>
      <c r="E62">
        <v>127.998</v>
      </c>
      <c r="G62" s="2">
        <f t="shared" si="5"/>
        <v>0</v>
      </c>
      <c r="H62" s="2">
        <f t="shared" si="0"/>
        <v>0</v>
      </c>
      <c r="I62" s="2">
        <f t="shared" si="1"/>
        <v>0</v>
      </c>
      <c r="J62" s="2"/>
      <c r="K62" s="2">
        <f t="shared" si="2"/>
        <v>1</v>
      </c>
      <c r="L62" s="2">
        <f t="shared" si="3"/>
        <v>0</v>
      </c>
      <c r="M62" s="2">
        <f t="shared" si="4"/>
        <v>1</v>
      </c>
      <c r="O62" s="3">
        <f t="shared" si="6"/>
        <v>0.7815077042706009</v>
      </c>
      <c r="P62" s="3">
        <f t="shared" si="7"/>
        <v>1</v>
      </c>
      <c r="Q62" s="3">
        <f t="shared" si="8"/>
        <v>0.7815077042706009</v>
      </c>
    </row>
    <row r="63" spans="1:17" x14ac:dyDescent="0.3">
      <c r="A63" s="1" t="s">
        <v>66</v>
      </c>
      <c r="B63">
        <v>34.036000000000001</v>
      </c>
      <c r="C63">
        <v>49.055999999999997</v>
      </c>
      <c r="D63">
        <v>49.055999999999997</v>
      </c>
      <c r="E63">
        <v>88.001000000000005</v>
      </c>
      <c r="G63" s="2">
        <f t="shared" si="5"/>
        <v>0</v>
      </c>
      <c r="H63" s="2">
        <f t="shared" si="0"/>
        <v>0</v>
      </c>
      <c r="I63" s="2">
        <f t="shared" si="1"/>
        <v>0</v>
      </c>
      <c r="J63" s="2"/>
      <c r="K63" s="2">
        <f t="shared" si="2"/>
        <v>1</v>
      </c>
      <c r="L63" s="2">
        <f t="shared" si="3"/>
        <v>0</v>
      </c>
      <c r="M63" s="2">
        <f t="shared" si="4"/>
        <v>1</v>
      </c>
      <c r="O63" s="3">
        <f t="shared" si="6"/>
        <v>0.69381930854533602</v>
      </c>
      <c r="P63" s="3">
        <f t="shared" si="7"/>
        <v>1</v>
      </c>
      <c r="Q63" s="3">
        <f t="shared" si="8"/>
        <v>0.69381930854533602</v>
      </c>
    </row>
    <row r="64" spans="1:17" x14ac:dyDescent="0.3">
      <c r="A64" s="1" t="s">
        <v>67</v>
      </c>
      <c r="B64">
        <v>98.097999999999999</v>
      </c>
      <c r="C64">
        <v>131.297</v>
      </c>
      <c r="D64">
        <v>131.297</v>
      </c>
      <c r="E64">
        <v>177</v>
      </c>
      <c r="G64" s="2">
        <f t="shared" si="5"/>
        <v>0</v>
      </c>
      <c r="H64" s="2">
        <f t="shared" si="0"/>
        <v>0</v>
      </c>
      <c r="I64" s="2">
        <f t="shared" si="1"/>
        <v>0</v>
      </c>
      <c r="J64" s="2"/>
      <c r="K64" s="2">
        <f t="shared" si="2"/>
        <v>1</v>
      </c>
      <c r="L64" s="2">
        <f t="shared" si="3"/>
        <v>0</v>
      </c>
      <c r="M64" s="2">
        <f t="shared" si="4"/>
        <v>1</v>
      </c>
      <c r="O64" s="3">
        <f t="shared" si="6"/>
        <v>0.74714578398592502</v>
      </c>
      <c r="P64" s="3">
        <f t="shared" si="7"/>
        <v>1</v>
      </c>
      <c r="Q64" s="3">
        <f t="shared" si="8"/>
        <v>0.74714578398592502</v>
      </c>
    </row>
    <row r="65" spans="1:17" x14ac:dyDescent="0.3">
      <c r="A65" s="1" t="s">
        <v>68</v>
      </c>
      <c r="B65">
        <v>1063.105</v>
      </c>
      <c r="C65">
        <v>1427.6369999999999</v>
      </c>
      <c r="D65">
        <v>1710.999</v>
      </c>
      <c r="E65">
        <v>1710.999</v>
      </c>
      <c r="G65" s="2">
        <f t="shared" si="5"/>
        <v>0</v>
      </c>
      <c r="H65" s="2">
        <f t="shared" si="0"/>
        <v>0</v>
      </c>
      <c r="I65" s="2">
        <f t="shared" si="1"/>
        <v>1</v>
      </c>
      <c r="J65" s="2"/>
      <c r="K65" s="2">
        <f t="shared" si="2"/>
        <v>1</v>
      </c>
      <c r="L65" s="2">
        <f t="shared" si="3"/>
        <v>1</v>
      </c>
      <c r="M65" s="2">
        <f t="shared" si="4"/>
        <v>1</v>
      </c>
      <c r="O65" s="3">
        <f t="shared" si="6"/>
        <v>0.74466058248700484</v>
      </c>
      <c r="P65" s="3">
        <f t="shared" si="7"/>
        <v>0.83438798035533623</v>
      </c>
      <c r="Q65" s="3">
        <f t="shared" si="8"/>
        <v>0.62133583947156024</v>
      </c>
    </row>
    <row r="66" spans="1:17" x14ac:dyDescent="0.3">
      <c r="A66" s="1" t="s">
        <v>69</v>
      </c>
      <c r="B66">
        <v>979.42499999999995</v>
      </c>
      <c r="C66">
        <v>1333.645</v>
      </c>
      <c r="D66">
        <v>1594.001</v>
      </c>
      <c r="E66">
        <v>1594.001</v>
      </c>
      <c r="G66" s="2">
        <f t="shared" ref="G66:G129" si="9">IF(B66=E66, 1, 0)</f>
        <v>0</v>
      </c>
      <c r="H66" s="2">
        <f t="shared" ref="H66:H129" si="10">IF(C66=E66, 1, 0)</f>
        <v>0</v>
      </c>
      <c r="I66" s="2">
        <f t="shared" ref="I66:I129" si="11">IF(D66=E66, 1, 0)</f>
        <v>1</v>
      </c>
      <c r="J66" s="2"/>
      <c r="K66" s="2">
        <f t="shared" ref="K66:K129" si="12">IF(B66&lt;C66, 1, 0)</f>
        <v>1</v>
      </c>
      <c r="L66" s="2">
        <f t="shared" ref="L66:L129" si="13">IF(C66&lt;D66, 1, 0)</f>
        <v>1</v>
      </c>
      <c r="M66" s="2">
        <f t="shared" ref="M66:M129" si="14">IF(B66&lt;D66, 1, 0)</f>
        <v>1</v>
      </c>
      <c r="O66" s="3">
        <f t="shared" si="6"/>
        <v>0.7343970846814557</v>
      </c>
      <c r="P66" s="3">
        <f t="shared" si="7"/>
        <v>0.83666509619504625</v>
      </c>
      <c r="Q66" s="3">
        <f t="shared" si="8"/>
        <v>0.61444440750037166</v>
      </c>
    </row>
    <row r="67" spans="1:17" x14ac:dyDescent="0.3">
      <c r="A67" s="1" t="s">
        <v>70</v>
      </c>
      <c r="B67">
        <v>324.92500000000001</v>
      </c>
      <c r="C67">
        <v>493.02699999999999</v>
      </c>
      <c r="D67">
        <v>722.79899999999998</v>
      </c>
      <c r="E67">
        <v>749.00099999999998</v>
      </c>
      <c r="G67" s="2">
        <f t="shared" si="9"/>
        <v>0</v>
      </c>
      <c r="H67" s="2">
        <f t="shared" si="10"/>
        <v>0</v>
      </c>
      <c r="I67" s="2">
        <f t="shared" si="11"/>
        <v>0</v>
      </c>
      <c r="J67" s="2"/>
      <c r="K67" s="2">
        <f t="shared" si="12"/>
        <v>1</v>
      </c>
      <c r="L67" s="2">
        <f t="shared" si="13"/>
        <v>1</v>
      </c>
      <c r="M67" s="2">
        <f t="shared" si="14"/>
        <v>1</v>
      </c>
      <c r="O67" s="3">
        <f t="shared" ref="O67:O130" si="15">IF(B67&lt;C67, B67/C67, 1)</f>
        <v>0.65904098558496804</v>
      </c>
      <c r="P67" s="3">
        <f t="shared" ref="P67:P130" si="16">IF(C67&lt;D67, C67/D67, 1)</f>
        <v>0.68210802726622477</v>
      </c>
      <c r="Q67" s="3">
        <f t="shared" ref="Q67:Q130" si="17">IF(B67&lt;D67, B67/D67, 1)</f>
        <v>0.44953714656495103</v>
      </c>
    </row>
    <row r="68" spans="1:17" x14ac:dyDescent="0.3">
      <c r="A68" s="1" t="s">
        <v>71</v>
      </c>
      <c r="B68">
        <v>1721.0170000000001</v>
      </c>
      <c r="C68">
        <v>1982.999</v>
      </c>
      <c r="D68">
        <v>1982.999</v>
      </c>
      <c r="E68">
        <v>1982.999</v>
      </c>
      <c r="G68" s="2">
        <f t="shared" si="9"/>
        <v>0</v>
      </c>
      <c r="H68" s="2">
        <f t="shared" si="10"/>
        <v>1</v>
      </c>
      <c r="I68" s="2">
        <f t="shared" si="11"/>
        <v>1</v>
      </c>
      <c r="J68" s="2"/>
      <c r="K68" s="2">
        <f t="shared" si="12"/>
        <v>1</v>
      </c>
      <c r="L68" s="2">
        <f t="shared" si="13"/>
        <v>0</v>
      </c>
      <c r="M68" s="2">
        <f t="shared" si="14"/>
        <v>1</v>
      </c>
      <c r="O68" s="3">
        <f t="shared" si="15"/>
        <v>0.86788596464244305</v>
      </c>
      <c r="P68" s="3">
        <f t="shared" si="16"/>
        <v>1</v>
      </c>
      <c r="Q68" s="3">
        <f t="shared" si="17"/>
        <v>0.86788596464244305</v>
      </c>
    </row>
    <row r="69" spans="1:17" x14ac:dyDescent="0.3">
      <c r="A69" s="1" t="s">
        <v>72</v>
      </c>
      <c r="B69">
        <v>347.947</v>
      </c>
      <c r="C69">
        <v>457</v>
      </c>
      <c r="D69">
        <v>457</v>
      </c>
      <c r="E69">
        <v>457</v>
      </c>
      <c r="G69" s="2">
        <f t="shared" si="9"/>
        <v>0</v>
      </c>
      <c r="H69" s="2">
        <f t="shared" si="10"/>
        <v>1</v>
      </c>
      <c r="I69" s="2">
        <f t="shared" si="11"/>
        <v>1</v>
      </c>
      <c r="J69" s="2"/>
      <c r="K69" s="2">
        <f t="shared" si="12"/>
        <v>1</v>
      </c>
      <c r="L69" s="2">
        <f t="shared" si="13"/>
        <v>0</v>
      </c>
      <c r="M69" s="2">
        <f t="shared" si="14"/>
        <v>1</v>
      </c>
      <c r="O69" s="3">
        <f t="shared" si="15"/>
        <v>0.76137199124726473</v>
      </c>
      <c r="P69" s="3">
        <f t="shared" si="16"/>
        <v>1</v>
      </c>
      <c r="Q69" s="3">
        <f t="shared" si="17"/>
        <v>0.76137199124726473</v>
      </c>
    </row>
    <row r="70" spans="1:17" x14ac:dyDescent="0.3">
      <c r="A70" s="1" t="s">
        <v>73</v>
      </c>
      <c r="B70">
        <v>387.36099999999999</v>
      </c>
      <c r="C70">
        <v>503</v>
      </c>
      <c r="D70">
        <v>503</v>
      </c>
      <c r="E70">
        <v>503</v>
      </c>
      <c r="G70" s="2">
        <f t="shared" si="9"/>
        <v>0</v>
      </c>
      <c r="H70" s="2">
        <f t="shared" si="10"/>
        <v>1</v>
      </c>
      <c r="I70" s="2">
        <f t="shared" si="11"/>
        <v>1</v>
      </c>
      <c r="J70" s="2"/>
      <c r="K70" s="2">
        <f t="shared" si="12"/>
        <v>1</v>
      </c>
      <c r="L70" s="2">
        <f t="shared" si="13"/>
        <v>0</v>
      </c>
      <c r="M70" s="2">
        <f t="shared" si="14"/>
        <v>1</v>
      </c>
      <c r="O70" s="3">
        <f t="shared" si="15"/>
        <v>0.77010139165009939</v>
      </c>
      <c r="P70" s="3">
        <f t="shared" si="16"/>
        <v>1</v>
      </c>
      <c r="Q70" s="3">
        <f t="shared" si="17"/>
        <v>0.77010139165009939</v>
      </c>
    </row>
    <row r="71" spans="1:17" x14ac:dyDescent="0.3">
      <c r="A71" s="1" t="s">
        <v>74</v>
      </c>
      <c r="B71">
        <v>872.15700000000004</v>
      </c>
      <c r="C71">
        <v>1154.1759999999999</v>
      </c>
      <c r="D71">
        <v>1346.001</v>
      </c>
      <c r="E71">
        <v>1346.001</v>
      </c>
      <c r="G71" s="2">
        <f t="shared" si="9"/>
        <v>0</v>
      </c>
      <c r="H71" s="2">
        <f t="shared" si="10"/>
        <v>0</v>
      </c>
      <c r="I71" s="2">
        <f t="shared" si="11"/>
        <v>1</v>
      </c>
      <c r="J71" s="2"/>
      <c r="K71" s="2">
        <f t="shared" si="12"/>
        <v>1</v>
      </c>
      <c r="L71" s="2">
        <f t="shared" si="13"/>
        <v>1</v>
      </c>
      <c r="M71" s="2">
        <f t="shared" si="14"/>
        <v>1</v>
      </c>
      <c r="O71" s="3">
        <f t="shared" si="15"/>
        <v>0.75565338388599324</v>
      </c>
      <c r="P71" s="3">
        <f t="shared" si="16"/>
        <v>0.85748524703919238</v>
      </c>
      <c r="Q71" s="3">
        <f t="shared" si="17"/>
        <v>0.64796162855748252</v>
      </c>
    </row>
    <row r="72" spans="1:17" x14ac:dyDescent="0.3">
      <c r="A72" s="1" t="s">
        <v>75</v>
      </c>
      <c r="B72">
        <v>518.94600000000003</v>
      </c>
      <c r="C72">
        <v>788</v>
      </c>
      <c r="D72">
        <v>788</v>
      </c>
      <c r="E72">
        <v>788</v>
      </c>
      <c r="G72" s="2">
        <f t="shared" si="9"/>
        <v>0</v>
      </c>
      <c r="H72" s="2">
        <f t="shared" si="10"/>
        <v>1</v>
      </c>
      <c r="I72" s="2">
        <f t="shared" si="11"/>
        <v>1</v>
      </c>
      <c r="J72" s="2"/>
      <c r="K72" s="2">
        <f t="shared" si="12"/>
        <v>1</v>
      </c>
      <c r="L72" s="2">
        <f t="shared" si="13"/>
        <v>0</v>
      </c>
      <c r="M72" s="2">
        <f t="shared" si="14"/>
        <v>1</v>
      </c>
      <c r="O72" s="3">
        <f t="shared" si="15"/>
        <v>0.65856091370558378</v>
      </c>
      <c r="P72" s="3">
        <f t="shared" si="16"/>
        <v>1</v>
      </c>
      <c r="Q72" s="3">
        <f t="shared" si="17"/>
        <v>0.65856091370558378</v>
      </c>
    </row>
    <row r="73" spans="1:17" x14ac:dyDescent="0.3">
      <c r="A73" s="1" t="s">
        <v>76</v>
      </c>
      <c r="B73">
        <v>642.19799999999998</v>
      </c>
      <c r="C73">
        <v>1080.624</v>
      </c>
      <c r="D73">
        <v>1751.002</v>
      </c>
      <c r="E73">
        <v>1751.002</v>
      </c>
      <c r="G73" s="2">
        <f t="shared" si="9"/>
        <v>0</v>
      </c>
      <c r="H73" s="2">
        <f t="shared" si="10"/>
        <v>0</v>
      </c>
      <c r="I73" s="2">
        <f t="shared" si="11"/>
        <v>1</v>
      </c>
      <c r="J73" s="2"/>
      <c r="K73" s="2">
        <f t="shared" si="12"/>
        <v>1</v>
      </c>
      <c r="L73" s="2">
        <f t="shared" si="13"/>
        <v>1</v>
      </c>
      <c r="M73" s="2">
        <f t="shared" si="14"/>
        <v>1</v>
      </c>
      <c r="O73" s="3">
        <f t="shared" si="15"/>
        <v>0.5942844134500066</v>
      </c>
      <c r="P73" s="3">
        <f t="shared" si="16"/>
        <v>0.6171460683654274</v>
      </c>
      <c r="Q73" s="3">
        <f t="shared" si="17"/>
        <v>0.36676028925152571</v>
      </c>
    </row>
    <row r="74" spans="1:17" x14ac:dyDescent="0.3">
      <c r="A74" s="1" t="s">
        <v>77</v>
      </c>
      <c r="B74">
        <v>520.971</v>
      </c>
      <c r="C74">
        <v>802.09100000000001</v>
      </c>
      <c r="D74">
        <v>850</v>
      </c>
      <c r="E74">
        <v>850</v>
      </c>
      <c r="G74" s="2">
        <f t="shared" si="9"/>
        <v>0</v>
      </c>
      <c r="H74" s="2">
        <f t="shared" si="10"/>
        <v>0</v>
      </c>
      <c r="I74" s="2">
        <f t="shared" si="11"/>
        <v>1</v>
      </c>
      <c r="J74" s="2"/>
      <c r="K74" s="2">
        <f t="shared" si="12"/>
        <v>1</v>
      </c>
      <c r="L74" s="2">
        <f t="shared" si="13"/>
        <v>1</v>
      </c>
      <c r="M74" s="2">
        <f t="shared" si="14"/>
        <v>1</v>
      </c>
      <c r="O74" s="3">
        <f t="shared" si="15"/>
        <v>0.64951607735281902</v>
      </c>
      <c r="P74" s="3">
        <f t="shared" si="16"/>
        <v>0.9436364705882353</v>
      </c>
      <c r="Q74" s="3">
        <f t="shared" si="17"/>
        <v>0.61290705882352947</v>
      </c>
    </row>
    <row r="75" spans="1:17" x14ac:dyDescent="0.3">
      <c r="A75" s="1" t="s">
        <v>78</v>
      </c>
      <c r="B75">
        <v>782.18399999999997</v>
      </c>
      <c r="C75">
        <v>1330.8230000000001</v>
      </c>
      <c r="D75">
        <v>1852.277</v>
      </c>
      <c r="E75">
        <v>1923</v>
      </c>
      <c r="G75" s="2">
        <f t="shared" si="9"/>
        <v>0</v>
      </c>
      <c r="H75" s="2">
        <f t="shared" si="10"/>
        <v>0</v>
      </c>
      <c r="I75" s="2">
        <f t="shared" si="11"/>
        <v>0</v>
      </c>
      <c r="J75" s="2"/>
      <c r="K75" s="2">
        <f t="shared" si="12"/>
        <v>1</v>
      </c>
      <c r="L75" s="2">
        <f t="shared" si="13"/>
        <v>1</v>
      </c>
      <c r="M75" s="2">
        <f t="shared" si="14"/>
        <v>1</v>
      </c>
      <c r="O75" s="3">
        <f t="shared" si="15"/>
        <v>0.58774457610065345</v>
      </c>
      <c r="P75" s="3">
        <f t="shared" si="16"/>
        <v>0.718479471482937</v>
      </c>
      <c r="Q75" s="3">
        <f t="shared" si="17"/>
        <v>0.4222824124037603</v>
      </c>
    </row>
    <row r="76" spans="1:17" x14ac:dyDescent="0.3">
      <c r="A76" s="1" t="s">
        <v>79</v>
      </c>
      <c r="B76">
        <v>402.99799999999999</v>
      </c>
      <c r="C76">
        <v>529</v>
      </c>
      <c r="D76">
        <v>529</v>
      </c>
      <c r="E76">
        <v>529</v>
      </c>
      <c r="G76" s="2">
        <f t="shared" si="9"/>
        <v>0</v>
      </c>
      <c r="H76" s="2">
        <f t="shared" si="10"/>
        <v>1</v>
      </c>
      <c r="I76" s="2">
        <f t="shared" si="11"/>
        <v>1</v>
      </c>
      <c r="J76" s="2"/>
      <c r="K76" s="2">
        <f t="shared" si="12"/>
        <v>1</v>
      </c>
      <c r="L76" s="2">
        <f t="shared" si="13"/>
        <v>0</v>
      </c>
      <c r="M76" s="2">
        <f t="shared" si="14"/>
        <v>1</v>
      </c>
      <c r="O76" s="3">
        <f t="shared" si="15"/>
        <v>0.76181096408317583</v>
      </c>
      <c r="P76" s="3">
        <f t="shared" si="16"/>
        <v>1</v>
      </c>
      <c r="Q76" s="3">
        <f t="shared" si="17"/>
        <v>0.76181096408317583</v>
      </c>
    </row>
    <row r="77" spans="1:17" x14ac:dyDescent="0.3">
      <c r="A77" s="1" t="s">
        <v>80</v>
      </c>
      <c r="B77">
        <v>666.774</v>
      </c>
      <c r="C77">
        <v>1055.7429999999999</v>
      </c>
      <c r="D77">
        <v>1327.999</v>
      </c>
      <c r="E77">
        <v>1327.999</v>
      </c>
      <c r="G77" s="2">
        <f t="shared" si="9"/>
        <v>0</v>
      </c>
      <c r="H77" s="2">
        <f t="shared" si="10"/>
        <v>0</v>
      </c>
      <c r="I77" s="2">
        <f t="shared" si="11"/>
        <v>1</v>
      </c>
      <c r="J77" s="2"/>
      <c r="K77" s="2">
        <f t="shared" si="12"/>
        <v>1</v>
      </c>
      <c r="L77" s="2">
        <f t="shared" si="13"/>
        <v>1</v>
      </c>
      <c r="M77" s="2">
        <f t="shared" si="14"/>
        <v>1</v>
      </c>
      <c r="O77" s="3">
        <f t="shared" si="15"/>
        <v>0.63156847831337748</v>
      </c>
      <c r="P77" s="3">
        <f t="shared" si="16"/>
        <v>0.79498779743057024</v>
      </c>
      <c r="Q77" s="3">
        <f t="shared" si="17"/>
        <v>0.50208923350092882</v>
      </c>
    </row>
    <row r="78" spans="1:17" x14ac:dyDescent="0.3">
      <c r="A78" s="1" t="s">
        <v>81</v>
      </c>
      <c r="B78">
        <v>762.45399999999995</v>
      </c>
      <c r="C78">
        <v>1311.674</v>
      </c>
      <c r="D78">
        <v>1311.674</v>
      </c>
      <c r="E78">
        <v>1815.001</v>
      </c>
      <c r="G78" s="2">
        <f t="shared" si="9"/>
        <v>0</v>
      </c>
      <c r="H78" s="2">
        <f t="shared" si="10"/>
        <v>0</v>
      </c>
      <c r="I78" s="2">
        <f t="shared" si="11"/>
        <v>0</v>
      </c>
      <c r="J78" s="2"/>
      <c r="K78" s="2">
        <f t="shared" si="12"/>
        <v>1</v>
      </c>
      <c r="L78" s="2">
        <f t="shared" si="13"/>
        <v>0</v>
      </c>
      <c r="M78" s="2">
        <f t="shared" si="14"/>
        <v>1</v>
      </c>
      <c r="O78" s="3">
        <f t="shared" si="15"/>
        <v>0.58128315419837551</v>
      </c>
      <c r="P78" s="3">
        <f t="shared" si="16"/>
        <v>1</v>
      </c>
      <c r="Q78" s="3">
        <f t="shared" si="17"/>
        <v>0.58128315419837551</v>
      </c>
    </row>
    <row r="79" spans="1:17" x14ac:dyDescent="0.3">
      <c r="A79" s="1" t="s">
        <v>82</v>
      </c>
      <c r="B79">
        <v>618.86400000000003</v>
      </c>
      <c r="C79">
        <v>953</v>
      </c>
      <c r="D79">
        <v>953</v>
      </c>
      <c r="E79">
        <v>953</v>
      </c>
      <c r="G79" s="2">
        <f t="shared" si="9"/>
        <v>0</v>
      </c>
      <c r="H79" s="2">
        <f t="shared" si="10"/>
        <v>1</v>
      </c>
      <c r="I79" s="2">
        <f t="shared" si="11"/>
        <v>1</v>
      </c>
      <c r="J79" s="2"/>
      <c r="K79" s="2">
        <f t="shared" si="12"/>
        <v>1</v>
      </c>
      <c r="L79" s="2">
        <f t="shared" si="13"/>
        <v>0</v>
      </c>
      <c r="M79" s="2">
        <f t="shared" si="14"/>
        <v>1</v>
      </c>
      <c r="O79" s="3">
        <f t="shared" si="15"/>
        <v>0.64938509968520464</v>
      </c>
      <c r="P79" s="3">
        <f t="shared" si="16"/>
        <v>1</v>
      </c>
      <c r="Q79" s="3">
        <f t="shared" si="17"/>
        <v>0.64938509968520464</v>
      </c>
    </row>
    <row r="80" spans="1:17" x14ac:dyDescent="0.3">
      <c r="A80" s="1" t="s">
        <v>83</v>
      </c>
      <c r="B80">
        <v>722.36199999999997</v>
      </c>
      <c r="C80">
        <v>1135.019</v>
      </c>
      <c r="D80">
        <v>1276</v>
      </c>
      <c r="E80">
        <v>1276</v>
      </c>
      <c r="G80" s="2">
        <f t="shared" si="9"/>
        <v>0</v>
      </c>
      <c r="H80" s="2">
        <f t="shared" si="10"/>
        <v>0</v>
      </c>
      <c r="I80" s="2">
        <f t="shared" si="11"/>
        <v>1</v>
      </c>
      <c r="J80" s="2"/>
      <c r="K80" s="2">
        <f t="shared" si="12"/>
        <v>1</v>
      </c>
      <c r="L80" s="2">
        <f t="shared" si="13"/>
        <v>1</v>
      </c>
      <c r="M80" s="2">
        <f t="shared" si="14"/>
        <v>1</v>
      </c>
      <c r="O80" s="3">
        <f t="shared" si="15"/>
        <v>0.63643163682722492</v>
      </c>
      <c r="P80" s="3">
        <f t="shared" si="16"/>
        <v>0.88951332288401253</v>
      </c>
      <c r="Q80" s="3">
        <f t="shared" si="17"/>
        <v>0.56611442006269586</v>
      </c>
    </row>
    <row r="81" spans="1:17" x14ac:dyDescent="0.3">
      <c r="A81" s="1" t="s">
        <v>84</v>
      </c>
      <c r="B81">
        <v>350.73899999999998</v>
      </c>
      <c r="C81">
        <v>505</v>
      </c>
      <c r="D81">
        <v>505</v>
      </c>
      <c r="E81">
        <v>505</v>
      </c>
      <c r="G81" s="2">
        <f t="shared" si="9"/>
        <v>0</v>
      </c>
      <c r="H81" s="2">
        <f t="shared" si="10"/>
        <v>1</v>
      </c>
      <c r="I81" s="2">
        <f t="shared" si="11"/>
        <v>1</v>
      </c>
      <c r="J81" s="2"/>
      <c r="K81" s="2">
        <f t="shared" si="12"/>
        <v>1</v>
      </c>
      <c r="L81" s="2">
        <f t="shared" si="13"/>
        <v>0</v>
      </c>
      <c r="M81" s="2">
        <f t="shared" si="14"/>
        <v>1</v>
      </c>
      <c r="O81" s="3">
        <f t="shared" si="15"/>
        <v>0.69453267326732671</v>
      </c>
      <c r="P81" s="3">
        <f t="shared" si="16"/>
        <v>1</v>
      </c>
      <c r="Q81" s="3">
        <f t="shared" si="17"/>
        <v>0.69453267326732671</v>
      </c>
    </row>
    <row r="82" spans="1:17" x14ac:dyDescent="0.3">
      <c r="A82" s="1" t="s">
        <v>85</v>
      </c>
      <c r="B82">
        <v>899.81600000000003</v>
      </c>
      <c r="C82">
        <v>1185.0029999999999</v>
      </c>
      <c r="D82">
        <v>1425</v>
      </c>
      <c r="E82">
        <v>1425</v>
      </c>
      <c r="G82" s="2">
        <f t="shared" si="9"/>
        <v>0</v>
      </c>
      <c r="H82" s="2">
        <f t="shared" si="10"/>
        <v>0</v>
      </c>
      <c r="I82" s="2">
        <f t="shared" si="11"/>
        <v>1</v>
      </c>
      <c r="J82" s="2"/>
      <c r="K82" s="2">
        <f t="shared" si="12"/>
        <v>1</v>
      </c>
      <c r="L82" s="2">
        <f t="shared" si="13"/>
        <v>1</v>
      </c>
      <c r="M82" s="2">
        <f t="shared" si="14"/>
        <v>1</v>
      </c>
      <c r="O82" s="3">
        <f t="shared" si="15"/>
        <v>0.75933647425365181</v>
      </c>
      <c r="P82" s="3">
        <f t="shared" si="16"/>
        <v>0.83158105263157889</v>
      </c>
      <c r="Q82" s="3">
        <f t="shared" si="17"/>
        <v>0.63144982456140353</v>
      </c>
    </row>
    <row r="83" spans="1:17" x14ac:dyDescent="0.3">
      <c r="A83" s="1" t="s">
        <v>86</v>
      </c>
      <c r="B83">
        <v>473.90100000000001</v>
      </c>
      <c r="C83">
        <v>646.79700000000003</v>
      </c>
      <c r="D83">
        <v>856</v>
      </c>
      <c r="E83">
        <v>856</v>
      </c>
      <c r="G83" s="2">
        <f t="shared" si="9"/>
        <v>0</v>
      </c>
      <c r="H83" s="2">
        <f t="shared" si="10"/>
        <v>0</v>
      </c>
      <c r="I83" s="2">
        <f t="shared" si="11"/>
        <v>1</v>
      </c>
      <c r="J83" s="2"/>
      <c r="K83" s="2">
        <f t="shared" si="12"/>
        <v>1</v>
      </c>
      <c r="L83" s="2">
        <f t="shared" si="13"/>
        <v>1</v>
      </c>
      <c r="M83" s="2">
        <f t="shared" si="14"/>
        <v>1</v>
      </c>
      <c r="O83" s="3">
        <f t="shared" si="15"/>
        <v>0.73268892712860445</v>
      </c>
      <c r="P83" s="3">
        <f t="shared" si="16"/>
        <v>0.75560397196261686</v>
      </c>
      <c r="Q83" s="3">
        <f t="shared" si="17"/>
        <v>0.55362266355140188</v>
      </c>
    </row>
    <row r="84" spans="1:17" x14ac:dyDescent="0.3">
      <c r="A84" s="1" t="s">
        <v>87</v>
      </c>
      <c r="B84">
        <v>764.82299999999998</v>
      </c>
      <c r="C84">
        <v>1428.904</v>
      </c>
      <c r="D84">
        <v>1714.001</v>
      </c>
      <c r="E84">
        <v>1714.001</v>
      </c>
      <c r="G84" s="2">
        <f t="shared" si="9"/>
        <v>0</v>
      </c>
      <c r="H84" s="2">
        <f t="shared" si="10"/>
        <v>0</v>
      </c>
      <c r="I84" s="2">
        <f t="shared" si="11"/>
        <v>1</v>
      </c>
      <c r="J84" s="2"/>
      <c r="K84" s="2">
        <f t="shared" si="12"/>
        <v>1</v>
      </c>
      <c r="L84" s="2">
        <f t="shared" si="13"/>
        <v>1</v>
      </c>
      <c r="M84" s="2">
        <f t="shared" si="14"/>
        <v>1</v>
      </c>
      <c r="O84" s="3">
        <f t="shared" si="15"/>
        <v>0.53525149345232426</v>
      </c>
      <c r="P84" s="3">
        <f t="shared" si="16"/>
        <v>0.83366579132684293</v>
      </c>
      <c r="Q84" s="3">
        <f t="shared" si="17"/>
        <v>0.44622085984780641</v>
      </c>
    </row>
    <row r="85" spans="1:17" x14ac:dyDescent="0.3">
      <c r="A85" s="1" t="s">
        <v>88</v>
      </c>
      <c r="B85">
        <v>1231.826</v>
      </c>
      <c r="C85">
        <v>1530.999</v>
      </c>
      <c r="D85">
        <v>1530.999</v>
      </c>
      <c r="E85">
        <v>1530.999</v>
      </c>
      <c r="G85" s="2">
        <f t="shared" si="9"/>
        <v>0</v>
      </c>
      <c r="H85" s="2">
        <f t="shared" si="10"/>
        <v>1</v>
      </c>
      <c r="I85" s="2">
        <f t="shared" si="11"/>
        <v>1</v>
      </c>
      <c r="J85" s="2"/>
      <c r="K85" s="2">
        <f t="shared" si="12"/>
        <v>1</v>
      </c>
      <c r="L85" s="2">
        <f t="shared" si="13"/>
        <v>0</v>
      </c>
      <c r="M85" s="2">
        <f t="shared" si="14"/>
        <v>1</v>
      </c>
      <c r="O85" s="3">
        <f t="shared" si="15"/>
        <v>0.80458968294557998</v>
      </c>
      <c r="P85" s="3">
        <f t="shared" si="16"/>
        <v>1</v>
      </c>
      <c r="Q85" s="3">
        <f t="shared" si="17"/>
        <v>0.80458968294557998</v>
      </c>
    </row>
    <row r="86" spans="1:17" x14ac:dyDescent="0.3">
      <c r="A86" s="1" t="s">
        <v>89</v>
      </c>
      <c r="B86">
        <v>740.096</v>
      </c>
      <c r="C86">
        <v>952</v>
      </c>
      <c r="D86">
        <v>952</v>
      </c>
      <c r="E86">
        <v>952</v>
      </c>
      <c r="G86" s="2">
        <f t="shared" si="9"/>
        <v>0</v>
      </c>
      <c r="H86" s="2">
        <f t="shared" si="10"/>
        <v>1</v>
      </c>
      <c r="I86" s="2">
        <f t="shared" si="11"/>
        <v>1</v>
      </c>
      <c r="J86" s="2"/>
      <c r="K86" s="2">
        <f t="shared" si="12"/>
        <v>1</v>
      </c>
      <c r="L86" s="2">
        <f t="shared" si="13"/>
        <v>0</v>
      </c>
      <c r="M86" s="2">
        <f t="shared" si="14"/>
        <v>1</v>
      </c>
      <c r="O86" s="3">
        <f t="shared" si="15"/>
        <v>0.77741176470588236</v>
      </c>
      <c r="P86" s="3">
        <f t="shared" si="16"/>
        <v>1</v>
      </c>
      <c r="Q86" s="3">
        <f t="shared" si="17"/>
        <v>0.77741176470588236</v>
      </c>
    </row>
    <row r="87" spans="1:17" x14ac:dyDescent="0.3">
      <c r="A87" s="1" t="s">
        <v>90</v>
      </c>
      <c r="B87">
        <v>741.42100000000005</v>
      </c>
      <c r="C87">
        <v>961.00099999999998</v>
      </c>
      <c r="D87">
        <v>961.00099999999998</v>
      </c>
      <c r="E87">
        <v>961.00099999999998</v>
      </c>
      <c r="G87" s="2">
        <f t="shared" si="9"/>
        <v>0</v>
      </c>
      <c r="H87" s="2">
        <f t="shared" si="10"/>
        <v>1</v>
      </c>
      <c r="I87" s="2">
        <f t="shared" si="11"/>
        <v>1</v>
      </c>
      <c r="J87" s="2"/>
      <c r="K87" s="2">
        <f t="shared" si="12"/>
        <v>1</v>
      </c>
      <c r="L87" s="2">
        <f t="shared" si="13"/>
        <v>0</v>
      </c>
      <c r="M87" s="2">
        <f t="shared" si="14"/>
        <v>1</v>
      </c>
      <c r="O87" s="3">
        <f t="shared" si="15"/>
        <v>0.77150908271687546</v>
      </c>
      <c r="P87" s="3">
        <f t="shared" si="16"/>
        <v>1</v>
      </c>
      <c r="Q87" s="3">
        <f t="shared" si="17"/>
        <v>0.77150908271687546</v>
      </c>
    </row>
    <row r="88" spans="1:17" x14ac:dyDescent="0.3">
      <c r="A88" s="1" t="s">
        <v>91</v>
      </c>
      <c r="B88">
        <v>827.16899999999998</v>
      </c>
      <c r="C88">
        <v>924</v>
      </c>
      <c r="D88">
        <v>924</v>
      </c>
      <c r="E88">
        <v>924</v>
      </c>
      <c r="G88" s="2">
        <f t="shared" si="9"/>
        <v>0</v>
      </c>
      <c r="H88" s="2">
        <f t="shared" si="10"/>
        <v>1</v>
      </c>
      <c r="I88" s="2">
        <f t="shared" si="11"/>
        <v>1</v>
      </c>
      <c r="J88" s="2"/>
      <c r="K88" s="2">
        <f t="shared" si="12"/>
        <v>1</v>
      </c>
      <c r="L88" s="2">
        <f t="shared" si="13"/>
        <v>0</v>
      </c>
      <c r="M88" s="2">
        <f t="shared" si="14"/>
        <v>1</v>
      </c>
      <c r="O88" s="3">
        <f t="shared" si="15"/>
        <v>0.89520454545454542</v>
      </c>
      <c r="P88" s="3">
        <f t="shared" si="16"/>
        <v>1</v>
      </c>
      <c r="Q88" s="3">
        <f t="shared" si="17"/>
        <v>0.89520454545454542</v>
      </c>
    </row>
    <row r="89" spans="1:17" x14ac:dyDescent="0.3">
      <c r="A89" s="1" t="s">
        <v>92</v>
      </c>
      <c r="B89">
        <v>1281.5909999999999</v>
      </c>
      <c r="C89">
        <v>1390.999</v>
      </c>
      <c r="D89">
        <v>1390.999</v>
      </c>
      <c r="E89">
        <v>1390.999</v>
      </c>
      <c r="G89" s="2">
        <f t="shared" si="9"/>
        <v>0</v>
      </c>
      <c r="H89" s="2">
        <f t="shared" si="10"/>
        <v>1</v>
      </c>
      <c r="I89" s="2">
        <f t="shared" si="11"/>
        <v>1</v>
      </c>
      <c r="J89" s="2"/>
      <c r="K89" s="2">
        <f t="shared" si="12"/>
        <v>1</v>
      </c>
      <c r="L89" s="2">
        <f t="shared" si="13"/>
        <v>0</v>
      </c>
      <c r="M89" s="2">
        <f t="shared" si="14"/>
        <v>1</v>
      </c>
      <c r="O89" s="3">
        <f t="shared" si="15"/>
        <v>0.92134573784740315</v>
      </c>
      <c r="P89" s="3">
        <f t="shared" si="16"/>
        <v>1</v>
      </c>
      <c r="Q89" s="3">
        <f t="shared" si="17"/>
        <v>0.92134573784740315</v>
      </c>
    </row>
    <row r="90" spans="1:17" x14ac:dyDescent="0.3">
      <c r="A90" s="1" t="s">
        <v>93</v>
      </c>
      <c r="B90">
        <v>905.86099999999999</v>
      </c>
      <c r="C90">
        <v>1208.9380000000001</v>
      </c>
      <c r="D90">
        <v>1472.002</v>
      </c>
      <c r="E90">
        <v>1472.002</v>
      </c>
      <c r="G90" s="2">
        <f t="shared" si="9"/>
        <v>0</v>
      </c>
      <c r="H90" s="2">
        <f t="shared" si="10"/>
        <v>0</v>
      </c>
      <c r="I90" s="2">
        <f t="shared" si="11"/>
        <v>1</v>
      </c>
      <c r="J90" s="2"/>
      <c r="K90" s="2">
        <f t="shared" si="12"/>
        <v>1</v>
      </c>
      <c r="L90" s="2">
        <f t="shared" si="13"/>
        <v>1</v>
      </c>
      <c r="M90" s="2">
        <f t="shared" si="14"/>
        <v>1</v>
      </c>
      <c r="O90" s="3">
        <f t="shared" si="15"/>
        <v>0.7493031073553813</v>
      </c>
      <c r="P90" s="3">
        <f t="shared" si="16"/>
        <v>0.82128828629308936</v>
      </c>
      <c r="Q90" s="3">
        <f t="shared" si="17"/>
        <v>0.61539386495398785</v>
      </c>
    </row>
    <row r="91" spans="1:17" x14ac:dyDescent="0.3">
      <c r="A91" s="1" t="s">
        <v>94</v>
      </c>
      <c r="B91">
        <v>338.803</v>
      </c>
      <c r="C91">
        <v>445.33600000000001</v>
      </c>
      <c r="D91">
        <v>445.33600000000001</v>
      </c>
      <c r="E91">
        <v>867</v>
      </c>
      <c r="G91" s="2">
        <f t="shared" si="9"/>
        <v>0</v>
      </c>
      <c r="H91" s="2">
        <f t="shared" si="10"/>
        <v>0</v>
      </c>
      <c r="I91" s="2">
        <f t="shared" si="11"/>
        <v>0</v>
      </c>
      <c r="J91" s="2"/>
      <c r="K91" s="2">
        <f t="shared" si="12"/>
        <v>1</v>
      </c>
      <c r="L91" s="2">
        <f t="shared" si="13"/>
        <v>0</v>
      </c>
      <c r="M91" s="2">
        <f t="shared" si="14"/>
        <v>1</v>
      </c>
      <c r="O91" s="3">
        <f t="shared" si="15"/>
        <v>0.7607806240681193</v>
      </c>
      <c r="P91" s="3">
        <f t="shared" si="16"/>
        <v>1</v>
      </c>
      <c r="Q91" s="3">
        <f t="shared" si="17"/>
        <v>0.7607806240681193</v>
      </c>
    </row>
    <row r="92" spans="1:17" x14ac:dyDescent="0.3">
      <c r="A92" s="1" t="s">
        <v>95</v>
      </c>
      <c r="B92">
        <v>476.44099999999997</v>
      </c>
      <c r="C92">
        <v>616.08500000000004</v>
      </c>
      <c r="D92">
        <v>797</v>
      </c>
      <c r="E92">
        <v>797</v>
      </c>
      <c r="G92" s="2">
        <f t="shared" si="9"/>
        <v>0</v>
      </c>
      <c r="H92" s="2">
        <f t="shared" si="10"/>
        <v>0</v>
      </c>
      <c r="I92" s="2">
        <f t="shared" si="11"/>
        <v>1</v>
      </c>
      <c r="J92" s="2"/>
      <c r="K92" s="2">
        <f t="shared" si="12"/>
        <v>1</v>
      </c>
      <c r="L92" s="2">
        <f t="shared" si="13"/>
        <v>1</v>
      </c>
      <c r="M92" s="2">
        <f t="shared" si="14"/>
        <v>1</v>
      </c>
      <c r="O92" s="3">
        <f t="shared" si="15"/>
        <v>0.77333647142845541</v>
      </c>
      <c r="P92" s="3">
        <f t="shared" si="16"/>
        <v>0.77300501882057726</v>
      </c>
      <c r="Q92" s="3">
        <f t="shared" si="17"/>
        <v>0.59779297365119188</v>
      </c>
    </row>
    <row r="93" spans="1:17" x14ac:dyDescent="0.3">
      <c r="A93" s="1" t="s">
        <v>96</v>
      </c>
      <c r="B93">
        <v>528.25099999999998</v>
      </c>
      <c r="C93">
        <v>554.00099999999998</v>
      </c>
      <c r="D93">
        <v>554.00099999999998</v>
      </c>
      <c r="E93">
        <v>554.00099999999998</v>
      </c>
      <c r="G93" s="2">
        <f t="shared" si="9"/>
        <v>0</v>
      </c>
      <c r="H93" s="2">
        <f t="shared" si="10"/>
        <v>1</v>
      </c>
      <c r="I93" s="2">
        <f t="shared" si="11"/>
        <v>1</v>
      </c>
      <c r="J93" s="2"/>
      <c r="K93" s="2">
        <f t="shared" si="12"/>
        <v>1</v>
      </c>
      <c r="L93" s="2">
        <f t="shared" si="13"/>
        <v>0</v>
      </c>
      <c r="M93" s="2">
        <f t="shared" si="14"/>
        <v>1</v>
      </c>
      <c r="O93" s="3">
        <f t="shared" si="15"/>
        <v>0.95351993949469405</v>
      </c>
      <c r="P93" s="3">
        <f t="shared" si="16"/>
        <v>1</v>
      </c>
      <c r="Q93" s="3">
        <f t="shared" si="17"/>
        <v>0.95351993949469405</v>
      </c>
    </row>
    <row r="94" spans="1:17" x14ac:dyDescent="0.3">
      <c r="A94" s="1" t="s">
        <v>97</v>
      </c>
      <c r="B94">
        <v>292.54599999999999</v>
      </c>
      <c r="C94">
        <v>551.42100000000005</v>
      </c>
      <c r="D94">
        <v>595</v>
      </c>
      <c r="E94">
        <v>595</v>
      </c>
      <c r="G94" s="2">
        <f t="shared" si="9"/>
        <v>0</v>
      </c>
      <c r="H94" s="2">
        <f t="shared" si="10"/>
        <v>0</v>
      </c>
      <c r="I94" s="2">
        <f t="shared" si="11"/>
        <v>1</v>
      </c>
      <c r="J94" s="2"/>
      <c r="K94" s="2">
        <f t="shared" si="12"/>
        <v>1</v>
      </c>
      <c r="L94" s="2">
        <f t="shared" si="13"/>
        <v>1</v>
      </c>
      <c r="M94" s="2">
        <f t="shared" si="14"/>
        <v>1</v>
      </c>
      <c r="O94" s="3">
        <f t="shared" si="15"/>
        <v>0.53053111869152603</v>
      </c>
      <c r="P94" s="3">
        <f t="shared" si="16"/>
        <v>0.9267579831932774</v>
      </c>
      <c r="Q94" s="3">
        <f t="shared" si="17"/>
        <v>0.4916739495798319</v>
      </c>
    </row>
    <row r="95" spans="1:17" x14ac:dyDescent="0.3">
      <c r="A95" s="1" t="s">
        <v>98</v>
      </c>
      <c r="B95">
        <v>357</v>
      </c>
      <c r="C95">
        <v>357</v>
      </c>
      <c r="D95">
        <v>357</v>
      </c>
      <c r="E95">
        <v>357</v>
      </c>
      <c r="G95" s="2">
        <f t="shared" si="9"/>
        <v>1</v>
      </c>
      <c r="H95" s="2">
        <f t="shared" si="10"/>
        <v>1</v>
      </c>
      <c r="I95" s="2">
        <f t="shared" si="11"/>
        <v>1</v>
      </c>
      <c r="J95" s="2"/>
      <c r="K95" s="2">
        <f t="shared" si="12"/>
        <v>0</v>
      </c>
      <c r="L95" s="2">
        <f t="shared" si="13"/>
        <v>0</v>
      </c>
      <c r="M95" s="2">
        <f t="shared" si="14"/>
        <v>0</v>
      </c>
      <c r="O95" s="3">
        <f t="shared" si="15"/>
        <v>1</v>
      </c>
      <c r="P95" s="3">
        <f t="shared" si="16"/>
        <v>1</v>
      </c>
      <c r="Q95" s="3">
        <f t="shared" si="17"/>
        <v>1</v>
      </c>
    </row>
    <row r="96" spans="1:17" x14ac:dyDescent="0.3">
      <c r="A96" s="1" t="s">
        <v>99</v>
      </c>
      <c r="B96">
        <v>940.33</v>
      </c>
      <c r="C96">
        <v>1333.2739999999999</v>
      </c>
      <c r="D96">
        <v>1353</v>
      </c>
      <c r="E96">
        <v>1353</v>
      </c>
      <c r="G96" s="2">
        <f t="shared" si="9"/>
        <v>0</v>
      </c>
      <c r="H96" s="2">
        <f t="shared" si="10"/>
        <v>0</v>
      </c>
      <c r="I96" s="2">
        <f t="shared" si="11"/>
        <v>1</v>
      </c>
      <c r="J96" s="2"/>
      <c r="K96" s="2">
        <f t="shared" si="12"/>
        <v>1</v>
      </c>
      <c r="L96" s="2">
        <f t="shared" si="13"/>
        <v>1</v>
      </c>
      <c r="M96" s="2">
        <f t="shared" si="14"/>
        <v>1</v>
      </c>
      <c r="O96" s="3">
        <f t="shared" si="15"/>
        <v>0.7052788849103786</v>
      </c>
      <c r="P96" s="3">
        <f t="shared" si="16"/>
        <v>0.98542054693274195</v>
      </c>
      <c r="Q96" s="3">
        <f t="shared" si="17"/>
        <v>0.6949963045084997</v>
      </c>
    </row>
    <row r="97" spans="1:17" x14ac:dyDescent="0.3">
      <c r="A97" s="1" t="s">
        <v>100</v>
      </c>
      <c r="B97">
        <v>885.12099999999998</v>
      </c>
      <c r="C97">
        <v>1226.6279999999999</v>
      </c>
      <c r="D97">
        <v>1354</v>
      </c>
      <c r="E97">
        <v>1354</v>
      </c>
      <c r="G97" s="2">
        <f t="shared" si="9"/>
        <v>0</v>
      </c>
      <c r="H97" s="2">
        <f t="shared" si="10"/>
        <v>0</v>
      </c>
      <c r="I97" s="2">
        <f t="shared" si="11"/>
        <v>1</v>
      </c>
      <c r="J97" s="2"/>
      <c r="K97" s="2">
        <f t="shared" si="12"/>
        <v>1</v>
      </c>
      <c r="L97" s="2">
        <f t="shared" si="13"/>
        <v>1</v>
      </c>
      <c r="M97" s="2">
        <f t="shared" si="14"/>
        <v>1</v>
      </c>
      <c r="O97" s="3">
        <f t="shared" si="15"/>
        <v>0.72158877834192603</v>
      </c>
      <c r="P97" s="3">
        <f t="shared" si="16"/>
        <v>0.90592909896602658</v>
      </c>
      <c r="Q97" s="3">
        <f t="shared" si="17"/>
        <v>0.65370827178729685</v>
      </c>
    </row>
    <row r="98" spans="1:17" x14ac:dyDescent="0.3">
      <c r="A98" s="1" t="s">
        <v>101</v>
      </c>
      <c r="B98">
        <v>603.16700000000003</v>
      </c>
      <c r="C98">
        <v>1157.7829999999999</v>
      </c>
      <c r="D98">
        <v>1664</v>
      </c>
      <c r="E98">
        <v>1664</v>
      </c>
      <c r="G98" s="2">
        <f t="shared" si="9"/>
        <v>0</v>
      </c>
      <c r="H98" s="2">
        <f t="shared" si="10"/>
        <v>0</v>
      </c>
      <c r="I98" s="2">
        <f t="shared" si="11"/>
        <v>1</v>
      </c>
      <c r="J98" s="2"/>
      <c r="K98" s="2">
        <f t="shared" si="12"/>
        <v>1</v>
      </c>
      <c r="L98" s="2">
        <f t="shared" si="13"/>
        <v>1</v>
      </c>
      <c r="M98" s="2">
        <f t="shared" si="14"/>
        <v>1</v>
      </c>
      <c r="O98" s="3">
        <f t="shared" si="15"/>
        <v>0.52096722788294536</v>
      </c>
      <c r="P98" s="3">
        <f t="shared" si="16"/>
        <v>0.69578305288461528</v>
      </c>
      <c r="Q98" s="3">
        <f t="shared" si="17"/>
        <v>0.3624801682692308</v>
      </c>
    </row>
    <row r="99" spans="1:17" x14ac:dyDescent="0.3">
      <c r="A99" s="1" t="s">
        <v>102</v>
      </c>
      <c r="B99">
        <v>310.83199999999999</v>
      </c>
      <c r="C99">
        <v>613.77499999999998</v>
      </c>
      <c r="D99">
        <v>613.77499999999998</v>
      </c>
      <c r="E99">
        <v>615.00099999999998</v>
      </c>
      <c r="G99" s="2">
        <f t="shared" si="9"/>
        <v>0</v>
      </c>
      <c r="H99" s="2">
        <f t="shared" si="10"/>
        <v>0</v>
      </c>
      <c r="I99" s="2">
        <f t="shared" si="11"/>
        <v>0</v>
      </c>
      <c r="J99" s="2"/>
      <c r="K99" s="2">
        <f t="shared" si="12"/>
        <v>1</v>
      </c>
      <c r="L99" s="2">
        <f t="shared" si="13"/>
        <v>0</v>
      </c>
      <c r="M99" s="2">
        <f t="shared" si="14"/>
        <v>1</v>
      </c>
      <c r="O99" s="3">
        <f t="shared" si="15"/>
        <v>0.50642662213351797</v>
      </c>
      <c r="P99" s="3">
        <f t="shared" si="16"/>
        <v>1</v>
      </c>
      <c r="Q99" s="3">
        <f t="shared" si="17"/>
        <v>0.50642662213351797</v>
      </c>
    </row>
    <row r="100" spans="1:17" x14ac:dyDescent="0.3">
      <c r="A100" s="1" t="s">
        <v>103</v>
      </c>
      <c r="B100">
        <v>1183.8579999999999</v>
      </c>
      <c r="C100">
        <v>1215.999</v>
      </c>
      <c r="D100">
        <v>1215.999</v>
      </c>
      <c r="E100">
        <v>1215.999</v>
      </c>
      <c r="G100" s="2">
        <f t="shared" si="9"/>
        <v>0</v>
      </c>
      <c r="H100" s="2">
        <f t="shared" si="10"/>
        <v>1</v>
      </c>
      <c r="I100" s="2">
        <f t="shared" si="11"/>
        <v>1</v>
      </c>
      <c r="J100" s="2"/>
      <c r="K100" s="2">
        <f t="shared" si="12"/>
        <v>1</v>
      </c>
      <c r="L100" s="2">
        <f t="shared" si="13"/>
        <v>0</v>
      </c>
      <c r="M100" s="2">
        <f t="shared" si="14"/>
        <v>1</v>
      </c>
      <c r="O100" s="3">
        <f t="shared" si="15"/>
        <v>0.97356823484229837</v>
      </c>
      <c r="P100" s="3">
        <f t="shared" si="16"/>
        <v>1</v>
      </c>
      <c r="Q100" s="3">
        <f t="shared" si="17"/>
        <v>0.97356823484229837</v>
      </c>
    </row>
    <row r="101" spans="1:17" x14ac:dyDescent="0.3">
      <c r="A101" s="1" t="s">
        <v>104</v>
      </c>
      <c r="B101">
        <v>500.00099999999998</v>
      </c>
      <c r="C101">
        <v>500.00099999999998</v>
      </c>
      <c r="D101">
        <v>500.00099999999998</v>
      </c>
      <c r="E101">
        <v>500.00099999999998</v>
      </c>
      <c r="G101" s="2">
        <f t="shared" si="9"/>
        <v>1</v>
      </c>
      <c r="H101" s="2">
        <f t="shared" si="10"/>
        <v>1</v>
      </c>
      <c r="I101" s="2">
        <f t="shared" si="11"/>
        <v>1</v>
      </c>
      <c r="J101" s="2"/>
      <c r="K101" s="2">
        <f t="shared" si="12"/>
        <v>0</v>
      </c>
      <c r="L101" s="2">
        <f t="shared" si="13"/>
        <v>0</v>
      </c>
      <c r="M101" s="2">
        <f t="shared" si="14"/>
        <v>0</v>
      </c>
      <c r="O101" s="3">
        <f t="shared" si="15"/>
        <v>1</v>
      </c>
      <c r="P101" s="3">
        <f t="shared" si="16"/>
        <v>1</v>
      </c>
      <c r="Q101" s="3">
        <f t="shared" si="17"/>
        <v>1</v>
      </c>
    </row>
    <row r="102" spans="1:17" x14ac:dyDescent="0.3">
      <c r="A102" s="1" t="s">
        <v>105</v>
      </c>
      <c r="B102">
        <v>752.04200000000003</v>
      </c>
      <c r="C102">
        <v>1293.259</v>
      </c>
      <c r="D102">
        <v>1639.0029999999999</v>
      </c>
      <c r="E102">
        <v>1639.0029999999999</v>
      </c>
      <c r="G102" s="2">
        <f t="shared" si="9"/>
        <v>0</v>
      </c>
      <c r="H102" s="2">
        <f t="shared" si="10"/>
        <v>0</v>
      </c>
      <c r="I102" s="2">
        <f t="shared" si="11"/>
        <v>1</v>
      </c>
      <c r="J102" s="2"/>
      <c r="K102" s="2">
        <f t="shared" si="12"/>
        <v>1</v>
      </c>
      <c r="L102" s="2">
        <f t="shared" si="13"/>
        <v>1</v>
      </c>
      <c r="M102" s="2">
        <f t="shared" si="14"/>
        <v>1</v>
      </c>
      <c r="O102" s="3">
        <f t="shared" si="15"/>
        <v>0.58150919498723763</v>
      </c>
      <c r="P102" s="3">
        <f t="shared" si="16"/>
        <v>0.78905224700625931</v>
      </c>
      <c r="Q102" s="3">
        <f t="shared" si="17"/>
        <v>0.45884113695948087</v>
      </c>
    </row>
    <row r="103" spans="1:17" x14ac:dyDescent="0.3">
      <c r="A103" s="1" t="s">
        <v>106</v>
      </c>
      <c r="B103">
        <v>589.90700000000004</v>
      </c>
      <c r="C103">
        <v>837.10799999999995</v>
      </c>
      <c r="D103">
        <v>1082.001</v>
      </c>
      <c r="E103">
        <v>1082.001</v>
      </c>
      <c r="G103" s="2">
        <f t="shared" si="9"/>
        <v>0</v>
      </c>
      <c r="H103" s="2">
        <f t="shared" si="10"/>
        <v>0</v>
      </c>
      <c r="I103" s="2">
        <f t="shared" si="11"/>
        <v>1</v>
      </c>
      <c r="J103" s="2"/>
      <c r="K103" s="2">
        <f t="shared" si="12"/>
        <v>1</v>
      </c>
      <c r="L103" s="2">
        <f t="shared" si="13"/>
        <v>1</v>
      </c>
      <c r="M103" s="2">
        <f t="shared" si="14"/>
        <v>1</v>
      </c>
      <c r="O103" s="3">
        <f t="shared" si="15"/>
        <v>0.7046964071541546</v>
      </c>
      <c r="P103" s="3">
        <f t="shared" si="16"/>
        <v>0.77366656777581533</v>
      </c>
      <c r="Q103" s="3">
        <f t="shared" si="17"/>
        <v>0.54520005064690336</v>
      </c>
    </row>
    <row r="104" spans="1:17" x14ac:dyDescent="0.3">
      <c r="A104" s="1" t="s">
        <v>107</v>
      </c>
      <c r="B104">
        <v>868.02200000000005</v>
      </c>
      <c r="C104">
        <v>1570.999</v>
      </c>
      <c r="D104">
        <v>1570.999</v>
      </c>
      <c r="E104">
        <v>1570.999</v>
      </c>
      <c r="G104" s="2">
        <f t="shared" si="9"/>
        <v>0</v>
      </c>
      <c r="H104" s="2">
        <f t="shared" si="10"/>
        <v>1</v>
      </c>
      <c r="I104" s="2">
        <f t="shared" si="11"/>
        <v>1</v>
      </c>
      <c r="J104" s="2"/>
      <c r="K104" s="2">
        <f t="shared" si="12"/>
        <v>1</v>
      </c>
      <c r="L104" s="2">
        <f t="shared" si="13"/>
        <v>0</v>
      </c>
      <c r="M104" s="2">
        <f t="shared" si="14"/>
        <v>1</v>
      </c>
      <c r="O104" s="3">
        <f t="shared" si="15"/>
        <v>0.55252867761214364</v>
      </c>
      <c r="P104" s="3">
        <f t="shared" si="16"/>
        <v>1</v>
      </c>
      <c r="Q104" s="3">
        <f t="shared" si="17"/>
        <v>0.55252867761214364</v>
      </c>
    </row>
    <row r="105" spans="1:17" x14ac:dyDescent="0.3">
      <c r="A105" s="1" t="s">
        <v>108</v>
      </c>
      <c r="B105">
        <v>444.80700000000002</v>
      </c>
      <c r="C105">
        <v>472</v>
      </c>
      <c r="D105">
        <v>472</v>
      </c>
      <c r="E105">
        <v>472</v>
      </c>
      <c r="G105" s="2">
        <f t="shared" si="9"/>
        <v>0</v>
      </c>
      <c r="H105" s="2">
        <f t="shared" si="10"/>
        <v>1</v>
      </c>
      <c r="I105" s="2">
        <f t="shared" si="11"/>
        <v>1</v>
      </c>
      <c r="J105" s="2"/>
      <c r="K105" s="2">
        <f t="shared" si="12"/>
        <v>1</v>
      </c>
      <c r="L105" s="2">
        <f t="shared" si="13"/>
        <v>0</v>
      </c>
      <c r="M105" s="2">
        <f t="shared" si="14"/>
        <v>1</v>
      </c>
      <c r="O105" s="3">
        <f t="shared" si="15"/>
        <v>0.94238771186440684</v>
      </c>
      <c r="P105" s="3">
        <f t="shared" si="16"/>
        <v>1</v>
      </c>
      <c r="Q105" s="3">
        <f t="shared" si="17"/>
        <v>0.94238771186440684</v>
      </c>
    </row>
    <row r="106" spans="1:17" x14ac:dyDescent="0.3">
      <c r="A106" s="1" t="s">
        <v>109</v>
      </c>
      <c r="B106">
        <v>1248.5989999999999</v>
      </c>
      <c r="C106">
        <v>1452.999</v>
      </c>
      <c r="D106">
        <v>1452.999</v>
      </c>
      <c r="E106">
        <v>1452.999</v>
      </c>
      <c r="G106" s="2">
        <f t="shared" si="9"/>
        <v>0</v>
      </c>
      <c r="H106" s="2">
        <f t="shared" si="10"/>
        <v>1</v>
      </c>
      <c r="I106" s="2">
        <f t="shared" si="11"/>
        <v>1</v>
      </c>
      <c r="J106" s="2"/>
      <c r="K106" s="2">
        <f t="shared" si="12"/>
        <v>1</v>
      </c>
      <c r="L106" s="2">
        <f t="shared" si="13"/>
        <v>0</v>
      </c>
      <c r="M106" s="2">
        <f t="shared" si="14"/>
        <v>1</v>
      </c>
      <c r="O106" s="3">
        <f t="shared" si="15"/>
        <v>0.85932543656258531</v>
      </c>
      <c r="P106" s="3">
        <f t="shared" si="16"/>
        <v>1</v>
      </c>
      <c r="Q106" s="3">
        <f t="shared" si="17"/>
        <v>0.85932543656258531</v>
      </c>
    </row>
    <row r="107" spans="1:17" x14ac:dyDescent="0.3">
      <c r="A107" s="1" t="s">
        <v>110</v>
      </c>
      <c r="B107">
        <v>895</v>
      </c>
      <c r="C107">
        <v>895</v>
      </c>
      <c r="D107">
        <v>895</v>
      </c>
      <c r="E107">
        <v>895</v>
      </c>
      <c r="G107" s="2">
        <f t="shared" si="9"/>
        <v>1</v>
      </c>
      <c r="H107" s="2">
        <f t="shared" si="10"/>
        <v>1</v>
      </c>
      <c r="I107" s="2">
        <f t="shared" si="11"/>
        <v>1</v>
      </c>
      <c r="J107" s="2"/>
      <c r="K107" s="2">
        <f t="shared" si="12"/>
        <v>0</v>
      </c>
      <c r="L107" s="2">
        <f t="shared" si="13"/>
        <v>0</v>
      </c>
      <c r="M107" s="2">
        <f t="shared" si="14"/>
        <v>0</v>
      </c>
      <c r="O107" s="3">
        <f t="shared" si="15"/>
        <v>1</v>
      </c>
      <c r="P107" s="3">
        <f t="shared" si="16"/>
        <v>1</v>
      </c>
      <c r="Q107" s="3">
        <f t="shared" si="17"/>
        <v>1</v>
      </c>
    </row>
    <row r="108" spans="1:17" x14ac:dyDescent="0.3">
      <c r="A108" s="1" t="s">
        <v>111</v>
      </c>
      <c r="B108">
        <v>557</v>
      </c>
      <c r="C108">
        <v>557</v>
      </c>
      <c r="D108">
        <v>557</v>
      </c>
      <c r="E108">
        <v>557</v>
      </c>
      <c r="G108" s="2">
        <f t="shared" si="9"/>
        <v>1</v>
      </c>
      <c r="H108" s="2">
        <f t="shared" si="10"/>
        <v>1</v>
      </c>
      <c r="I108" s="2">
        <f t="shared" si="11"/>
        <v>1</v>
      </c>
      <c r="J108" s="2"/>
      <c r="K108" s="2">
        <f t="shared" si="12"/>
        <v>0</v>
      </c>
      <c r="L108" s="2">
        <f t="shared" si="13"/>
        <v>0</v>
      </c>
      <c r="M108" s="2">
        <f t="shared" si="14"/>
        <v>0</v>
      </c>
      <c r="O108" s="3">
        <f t="shared" si="15"/>
        <v>1</v>
      </c>
      <c r="P108" s="3">
        <f t="shared" si="16"/>
        <v>1</v>
      </c>
      <c r="Q108" s="3">
        <f t="shared" si="17"/>
        <v>1</v>
      </c>
    </row>
    <row r="109" spans="1:17" x14ac:dyDescent="0.3">
      <c r="A109" s="1" t="s">
        <v>112</v>
      </c>
      <c r="B109">
        <v>480.57499999999999</v>
      </c>
      <c r="C109">
        <v>757.15899999999999</v>
      </c>
      <c r="D109">
        <v>1227.751</v>
      </c>
      <c r="E109">
        <v>1333.002</v>
      </c>
      <c r="G109" s="2">
        <f t="shared" si="9"/>
        <v>0</v>
      </c>
      <c r="H109" s="2">
        <f t="shared" si="10"/>
        <v>0</v>
      </c>
      <c r="I109" s="2">
        <f t="shared" si="11"/>
        <v>0</v>
      </c>
      <c r="J109" s="2"/>
      <c r="K109" s="2">
        <f t="shared" si="12"/>
        <v>1</v>
      </c>
      <c r="L109" s="2">
        <f t="shared" si="13"/>
        <v>1</v>
      </c>
      <c r="M109" s="2">
        <f t="shared" si="14"/>
        <v>1</v>
      </c>
      <c r="O109" s="3">
        <f t="shared" si="15"/>
        <v>0.63470816565609067</v>
      </c>
      <c r="P109" s="3">
        <f t="shared" si="16"/>
        <v>0.61670403852246913</v>
      </c>
      <c r="Q109" s="3">
        <f t="shared" si="17"/>
        <v>0.39142708904329948</v>
      </c>
    </row>
    <row r="110" spans="1:17" x14ac:dyDescent="0.3">
      <c r="A110" s="1" t="s">
        <v>113</v>
      </c>
      <c r="B110">
        <v>550.06100000000004</v>
      </c>
      <c r="C110">
        <v>599</v>
      </c>
      <c r="D110">
        <v>599</v>
      </c>
      <c r="E110">
        <v>599</v>
      </c>
      <c r="G110" s="2">
        <f t="shared" si="9"/>
        <v>0</v>
      </c>
      <c r="H110" s="2">
        <f t="shared" si="10"/>
        <v>1</v>
      </c>
      <c r="I110" s="2">
        <f t="shared" si="11"/>
        <v>1</v>
      </c>
      <c r="J110" s="2"/>
      <c r="K110" s="2">
        <f t="shared" si="12"/>
        <v>1</v>
      </c>
      <c r="L110" s="2">
        <f t="shared" si="13"/>
        <v>0</v>
      </c>
      <c r="M110" s="2">
        <f t="shared" si="14"/>
        <v>1</v>
      </c>
      <c r="O110" s="3">
        <f t="shared" si="15"/>
        <v>0.91829883138564283</v>
      </c>
      <c r="P110" s="3">
        <f t="shared" si="16"/>
        <v>1</v>
      </c>
      <c r="Q110" s="3">
        <f t="shared" si="17"/>
        <v>0.91829883138564283</v>
      </c>
    </row>
    <row r="111" spans="1:17" x14ac:dyDescent="0.3">
      <c r="A111" s="1" t="s">
        <v>114</v>
      </c>
      <c r="B111">
        <v>759.93399999999997</v>
      </c>
      <c r="C111">
        <v>1137.001</v>
      </c>
      <c r="D111">
        <v>1137.001</v>
      </c>
      <c r="E111">
        <v>1137.001</v>
      </c>
      <c r="G111" s="2">
        <f t="shared" si="9"/>
        <v>0</v>
      </c>
      <c r="H111" s="2">
        <f t="shared" si="10"/>
        <v>1</v>
      </c>
      <c r="I111" s="2">
        <f t="shared" si="11"/>
        <v>1</v>
      </c>
      <c r="J111" s="2"/>
      <c r="K111" s="2">
        <f t="shared" si="12"/>
        <v>1</v>
      </c>
      <c r="L111" s="2">
        <f t="shared" si="13"/>
        <v>0</v>
      </c>
      <c r="M111" s="2">
        <f t="shared" si="14"/>
        <v>1</v>
      </c>
      <c r="O111" s="3">
        <f t="shared" si="15"/>
        <v>0.66836704629107624</v>
      </c>
      <c r="P111" s="3">
        <f t="shared" si="16"/>
        <v>1</v>
      </c>
      <c r="Q111" s="3">
        <f t="shared" si="17"/>
        <v>0.66836704629107624</v>
      </c>
    </row>
    <row r="112" spans="1:17" x14ac:dyDescent="0.3">
      <c r="A112" s="1" t="s">
        <v>115</v>
      </c>
      <c r="B112">
        <v>997.93700000000001</v>
      </c>
      <c r="C112">
        <v>1442.979</v>
      </c>
      <c r="D112">
        <v>1476</v>
      </c>
      <c r="E112">
        <v>1476</v>
      </c>
      <c r="G112" s="2">
        <f t="shared" si="9"/>
        <v>0</v>
      </c>
      <c r="H112" s="2">
        <f t="shared" si="10"/>
        <v>0</v>
      </c>
      <c r="I112" s="2">
        <f t="shared" si="11"/>
        <v>1</v>
      </c>
      <c r="J112" s="2"/>
      <c r="K112" s="2">
        <f t="shared" si="12"/>
        <v>1</v>
      </c>
      <c r="L112" s="2">
        <f t="shared" si="13"/>
        <v>1</v>
      </c>
      <c r="M112" s="2">
        <f t="shared" si="14"/>
        <v>1</v>
      </c>
      <c r="O112" s="3">
        <f t="shared" si="15"/>
        <v>0.69158109716080418</v>
      </c>
      <c r="P112" s="3">
        <f t="shared" si="16"/>
        <v>0.97762804878048781</v>
      </c>
      <c r="Q112" s="3">
        <f t="shared" si="17"/>
        <v>0.67610907859078595</v>
      </c>
    </row>
    <row r="113" spans="1:17" x14ac:dyDescent="0.3">
      <c r="A113" s="1" t="s">
        <v>116</v>
      </c>
      <c r="B113">
        <v>846.72699999999998</v>
      </c>
      <c r="C113">
        <v>944</v>
      </c>
      <c r="D113">
        <v>944</v>
      </c>
      <c r="E113">
        <v>944</v>
      </c>
      <c r="G113" s="2">
        <f t="shared" si="9"/>
        <v>0</v>
      </c>
      <c r="H113" s="2">
        <f t="shared" si="10"/>
        <v>1</v>
      </c>
      <c r="I113" s="2">
        <f t="shared" si="11"/>
        <v>1</v>
      </c>
      <c r="J113" s="2"/>
      <c r="K113" s="2">
        <f t="shared" si="12"/>
        <v>1</v>
      </c>
      <c r="L113" s="2">
        <f t="shared" si="13"/>
        <v>0</v>
      </c>
      <c r="M113" s="2">
        <f t="shared" si="14"/>
        <v>1</v>
      </c>
      <c r="O113" s="3">
        <f t="shared" si="15"/>
        <v>0.89695656779661015</v>
      </c>
      <c r="P113" s="3">
        <f t="shared" si="16"/>
        <v>1</v>
      </c>
      <c r="Q113" s="3">
        <f t="shared" si="17"/>
        <v>0.89695656779661015</v>
      </c>
    </row>
    <row r="114" spans="1:17" x14ac:dyDescent="0.3">
      <c r="A114" s="1" t="s">
        <v>117</v>
      </c>
      <c r="B114">
        <v>659.05</v>
      </c>
      <c r="C114">
        <v>1055.864</v>
      </c>
      <c r="D114">
        <v>1274.001</v>
      </c>
      <c r="E114">
        <v>1274.001</v>
      </c>
      <c r="G114" s="2">
        <f t="shared" si="9"/>
        <v>0</v>
      </c>
      <c r="H114" s="2">
        <f t="shared" si="10"/>
        <v>0</v>
      </c>
      <c r="I114" s="2">
        <f t="shared" si="11"/>
        <v>1</v>
      </c>
      <c r="J114" s="2"/>
      <c r="K114" s="2">
        <f t="shared" si="12"/>
        <v>1</v>
      </c>
      <c r="L114" s="2">
        <f t="shared" si="13"/>
        <v>1</v>
      </c>
      <c r="M114" s="2">
        <f t="shared" si="14"/>
        <v>1</v>
      </c>
      <c r="O114" s="3">
        <f t="shared" si="15"/>
        <v>0.62418076570467407</v>
      </c>
      <c r="P114" s="3">
        <f t="shared" si="16"/>
        <v>0.8287779993893255</v>
      </c>
      <c r="Q114" s="3">
        <f t="shared" si="17"/>
        <v>0.51730728625801703</v>
      </c>
    </row>
    <row r="115" spans="1:17" x14ac:dyDescent="0.3">
      <c r="A115" s="1" t="s">
        <v>118</v>
      </c>
      <c r="B115">
        <v>1014.064</v>
      </c>
      <c r="C115">
        <v>1205.723</v>
      </c>
      <c r="D115">
        <v>1719.998</v>
      </c>
      <c r="E115">
        <v>1719.998</v>
      </c>
      <c r="G115" s="2">
        <f t="shared" si="9"/>
        <v>0</v>
      </c>
      <c r="H115" s="2">
        <f t="shared" si="10"/>
        <v>0</v>
      </c>
      <c r="I115" s="2">
        <f t="shared" si="11"/>
        <v>1</v>
      </c>
      <c r="J115" s="2"/>
      <c r="K115" s="2">
        <f t="shared" si="12"/>
        <v>1</v>
      </c>
      <c r="L115" s="2">
        <f t="shared" si="13"/>
        <v>1</v>
      </c>
      <c r="M115" s="2">
        <f t="shared" si="14"/>
        <v>1</v>
      </c>
      <c r="O115" s="3">
        <f t="shared" si="15"/>
        <v>0.84104226260923942</v>
      </c>
      <c r="P115" s="3">
        <f t="shared" si="16"/>
        <v>0.70100255930530142</v>
      </c>
      <c r="Q115" s="3">
        <f t="shared" si="17"/>
        <v>0.58957277857299828</v>
      </c>
    </row>
    <row r="116" spans="1:17" x14ac:dyDescent="0.3">
      <c r="A116" s="1" t="s">
        <v>119</v>
      </c>
      <c r="B116">
        <v>470.71100000000001</v>
      </c>
      <c r="C116">
        <v>673.00099999999998</v>
      </c>
      <c r="D116">
        <v>673.00099999999998</v>
      </c>
      <c r="E116">
        <v>673.00099999999998</v>
      </c>
      <c r="G116" s="2">
        <f t="shared" si="9"/>
        <v>0</v>
      </c>
      <c r="H116" s="2">
        <f t="shared" si="10"/>
        <v>1</v>
      </c>
      <c r="I116" s="2">
        <f t="shared" si="11"/>
        <v>1</v>
      </c>
      <c r="J116" s="2"/>
      <c r="K116" s="2">
        <f t="shared" si="12"/>
        <v>1</v>
      </c>
      <c r="L116" s="2">
        <f t="shared" si="13"/>
        <v>0</v>
      </c>
      <c r="M116" s="2">
        <f t="shared" si="14"/>
        <v>1</v>
      </c>
      <c r="O116" s="3">
        <f t="shared" si="15"/>
        <v>0.69942095182622321</v>
      </c>
      <c r="P116" s="3">
        <f t="shared" si="16"/>
        <v>1</v>
      </c>
      <c r="Q116" s="3">
        <f t="shared" si="17"/>
        <v>0.69942095182622321</v>
      </c>
    </row>
    <row r="117" spans="1:17" x14ac:dyDescent="0.3">
      <c r="A117" s="1" t="s">
        <v>120</v>
      </c>
      <c r="B117">
        <v>533.62400000000002</v>
      </c>
      <c r="C117">
        <v>884</v>
      </c>
      <c r="D117">
        <v>884</v>
      </c>
      <c r="E117">
        <v>884</v>
      </c>
      <c r="G117" s="2">
        <f t="shared" si="9"/>
        <v>0</v>
      </c>
      <c r="H117" s="2">
        <f t="shared" si="10"/>
        <v>1</v>
      </c>
      <c r="I117" s="2">
        <f t="shared" si="11"/>
        <v>1</v>
      </c>
      <c r="J117" s="2"/>
      <c r="K117" s="2">
        <f t="shared" si="12"/>
        <v>1</v>
      </c>
      <c r="L117" s="2">
        <f t="shared" si="13"/>
        <v>0</v>
      </c>
      <c r="M117" s="2">
        <f t="shared" si="14"/>
        <v>1</v>
      </c>
      <c r="O117" s="3">
        <f t="shared" si="15"/>
        <v>0.60364705882352943</v>
      </c>
      <c r="P117" s="3">
        <f t="shared" si="16"/>
        <v>1</v>
      </c>
      <c r="Q117" s="3">
        <f t="shared" si="17"/>
        <v>0.60364705882352943</v>
      </c>
    </row>
    <row r="118" spans="1:17" x14ac:dyDescent="0.3">
      <c r="A118" s="1" t="s">
        <v>121</v>
      </c>
      <c r="B118">
        <v>503.15</v>
      </c>
      <c r="C118">
        <v>967.80700000000002</v>
      </c>
      <c r="D118">
        <v>1286.2370000000001</v>
      </c>
      <c r="E118">
        <v>1872</v>
      </c>
      <c r="G118" s="2">
        <f t="shared" si="9"/>
        <v>0</v>
      </c>
      <c r="H118" s="2">
        <f t="shared" si="10"/>
        <v>0</v>
      </c>
      <c r="I118" s="2">
        <f t="shared" si="11"/>
        <v>0</v>
      </c>
      <c r="J118" s="2"/>
      <c r="K118" s="2">
        <f t="shared" si="12"/>
        <v>1</v>
      </c>
      <c r="L118" s="2">
        <f t="shared" si="13"/>
        <v>1</v>
      </c>
      <c r="M118" s="2">
        <f t="shared" si="14"/>
        <v>1</v>
      </c>
      <c r="O118" s="3">
        <f t="shared" si="15"/>
        <v>0.51988671294999933</v>
      </c>
      <c r="P118" s="3">
        <f t="shared" si="16"/>
        <v>0.75243287201347808</v>
      </c>
      <c r="Q118" s="3">
        <f t="shared" si="17"/>
        <v>0.39117985254661464</v>
      </c>
    </row>
    <row r="119" spans="1:17" x14ac:dyDescent="0.3">
      <c r="A119" s="1" t="s">
        <v>122</v>
      </c>
      <c r="B119">
        <v>798.74199999999996</v>
      </c>
      <c r="C119">
        <v>969.00099999999998</v>
      </c>
      <c r="D119">
        <v>969.00099999999998</v>
      </c>
      <c r="E119">
        <v>969.00099999999998</v>
      </c>
      <c r="G119" s="2">
        <f t="shared" si="9"/>
        <v>0</v>
      </c>
      <c r="H119" s="2">
        <f t="shared" si="10"/>
        <v>1</v>
      </c>
      <c r="I119" s="2">
        <f t="shared" si="11"/>
        <v>1</v>
      </c>
      <c r="J119" s="2"/>
      <c r="K119" s="2">
        <f t="shared" si="12"/>
        <v>1</v>
      </c>
      <c r="L119" s="2">
        <f t="shared" si="13"/>
        <v>0</v>
      </c>
      <c r="M119" s="2">
        <f t="shared" si="14"/>
        <v>1</v>
      </c>
      <c r="O119" s="3">
        <f t="shared" si="15"/>
        <v>0.82429429897389161</v>
      </c>
      <c r="P119" s="3">
        <f t="shared" si="16"/>
        <v>1</v>
      </c>
      <c r="Q119" s="3">
        <f t="shared" si="17"/>
        <v>0.82429429897389161</v>
      </c>
    </row>
    <row r="120" spans="1:17" x14ac:dyDescent="0.3">
      <c r="A120" s="1" t="s">
        <v>123</v>
      </c>
      <c r="B120">
        <v>701.46799999999996</v>
      </c>
      <c r="C120">
        <v>913.00099999999998</v>
      </c>
      <c r="D120">
        <v>913.00099999999998</v>
      </c>
      <c r="E120">
        <v>913.00099999999998</v>
      </c>
      <c r="G120" s="2">
        <f t="shared" si="9"/>
        <v>0</v>
      </c>
      <c r="H120" s="2">
        <f t="shared" si="10"/>
        <v>1</v>
      </c>
      <c r="I120" s="2">
        <f t="shared" si="11"/>
        <v>1</v>
      </c>
      <c r="J120" s="2"/>
      <c r="K120" s="2">
        <f t="shared" si="12"/>
        <v>1</v>
      </c>
      <c r="L120" s="2">
        <f t="shared" si="13"/>
        <v>0</v>
      </c>
      <c r="M120" s="2">
        <f t="shared" si="14"/>
        <v>1</v>
      </c>
      <c r="O120" s="3">
        <f t="shared" si="15"/>
        <v>0.76831022090884893</v>
      </c>
      <c r="P120" s="3">
        <f t="shared" si="16"/>
        <v>1</v>
      </c>
      <c r="Q120" s="3">
        <f t="shared" si="17"/>
        <v>0.76831022090884893</v>
      </c>
    </row>
    <row r="121" spans="1:17" x14ac:dyDescent="0.3">
      <c r="A121" s="1" t="s">
        <v>124</v>
      </c>
      <c r="B121">
        <v>330.97899999999998</v>
      </c>
      <c r="C121">
        <v>511</v>
      </c>
      <c r="D121">
        <v>511</v>
      </c>
      <c r="E121">
        <v>511</v>
      </c>
      <c r="G121" s="2">
        <f t="shared" si="9"/>
        <v>0</v>
      </c>
      <c r="H121" s="2">
        <f t="shared" si="10"/>
        <v>1</v>
      </c>
      <c r="I121" s="2">
        <f t="shared" si="11"/>
        <v>1</v>
      </c>
      <c r="J121" s="2"/>
      <c r="K121" s="2">
        <f t="shared" si="12"/>
        <v>1</v>
      </c>
      <c r="L121" s="2">
        <f t="shared" si="13"/>
        <v>0</v>
      </c>
      <c r="M121" s="2">
        <f t="shared" si="14"/>
        <v>1</v>
      </c>
      <c r="O121" s="3">
        <f t="shared" si="15"/>
        <v>0.6477084148727984</v>
      </c>
      <c r="P121" s="3">
        <f t="shared" si="16"/>
        <v>1</v>
      </c>
      <c r="Q121" s="3">
        <f t="shared" si="17"/>
        <v>0.6477084148727984</v>
      </c>
    </row>
    <row r="122" spans="1:17" x14ac:dyDescent="0.3">
      <c r="A122" s="1" t="s">
        <v>125</v>
      </c>
      <c r="B122">
        <v>1106.479</v>
      </c>
      <c r="C122">
        <v>1387.001</v>
      </c>
      <c r="D122">
        <v>1387.001</v>
      </c>
      <c r="E122">
        <v>1387.001</v>
      </c>
      <c r="G122" s="2">
        <f t="shared" si="9"/>
        <v>0</v>
      </c>
      <c r="H122" s="2">
        <f t="shared" si="10"/>
        <v>1</v>
      </c>
      <c r="I122" s="2">
        <f t="shared" si="11"/>
        <v>1</v>
      </c>
      <c r="J122" s="2"/>
      <c r="K122" s="2">
        <f t="shared" si="12"/>
        <v>1</v>
      </c>
      <c r="L122" s="2">
        <f t="shared" si="13"/>
        <v>0</v>
      </c>
      <c r="M122" s="2">
        <f t="shared" si="14"/>
        <v>1</v>
      </c>
      <c r="O122" s="3">
        <f t="shared" si="15"/>
        <v>0.79774924459319063</v>
      </c>
      <c r="P122" s="3">
        <f t="shared" si="16"/>
        <v>1</v>
      </c>
      <c r="Q122" s="3">
        <f t="shared" si="17"/>
        <v>0.79774924459319063</v>
      </c>
    </row>
    <row r="123" spans="1:17" x14ac:dyDescent="0.3">
      <c r="A123" s="1" t="s">
        <v>126</v>
      </c>
      <c r="B123">
        <v>652.73</v>
      </c>
      <c r="C123">
        <v>765</v>
      </c>
      <c r="D123">
        <v>765</v>
      </c>
      <c r="E123">
        <v>765</v>
      </c>
      <c r="G123" s="2">
        <f t="shared" si="9"/>
        <v>0</v>
      </c>
      <c r="H123" s="2">
        <f t="shared" si="10"/>
        <v>1</v>
      </c>
      <c r="I123" s="2">
        <f t="shared" si="11"/>
        <v>1</v>
      </c>
      <c r="J123" s="2"/>
      <c r="K123" s="2">
        <f t="shared" si="12"/>
        <v>1</v>
      </c>
      <c r="L123" s="2">
        <f t="shared" si="13"/>
        <v>0</v>
      </c>
      <c r="M123" s="2">
        <f t="shared" si="14"/>
        <v>1</v>
      </c>
      <c r="O123" s="3">
        <f t="shared" si="15"/>
        <v>0.85324183006535947</v>
      </c>
      <c r="P123" s="3">
        <f t="shared" si="16"/>
        <v>1</v>
      </c>
      <c r="Q123" s="3">
        <f t="shared" si="17"/>
        <v>0.85324183006535947</v>
      </c>
    </row>
    <row r="124" spans="1:17" x14ac:dyDescent="0.3">
      <c r="A124" s="1" t="s">
        <v>127</v>
      </c>
      <c r="B124">
        <v>1685.8489999999999</v>
      </c>
      <c r="C124">
        <v>2181</v>
      </c>
      <c r="D124">
        <v>2181</v>
      </c>
      <c r="E124">
        <v>2181</v>
      </c>
      <c r="G124" s="2">
        <f t="shared" si="9"/>
        <v>0</v>
      </c>
      <c r="H124" s="2">
        <f t="shared" si="10"/>
        <v>1</v>
      </c>
      <c r="I124" s="2">
        <f t="shared" si="11"/>
        <v>1</v>
      </c>
      <c r="J124" s="2"/>
      <c r="K124" s="2">
        <f t="shared" si="12"/>
        <v>1</v>
      </c>
      <c r="L124" s="2">
        <f t="shared" si="13"/>
        <v>0</v>
      </c>
      <c r="M124" s="2">
        <f t="shared" si="14"/>
        <v>1</v>
      </c>
      <c r="O124" s="3">
        <f t="shared" si="15"/>
        <v>0.77297065566254008</v>
      </c>
      <c r="P124" s="3">
        <f t="shared" si="16"/>
        <v>1</v>
      </c>
      <c r="Q124" s="3">
        <f t="shared" si="17"/>
        <v>0.77297065566254008</v>
      </c>
    </row>
    <row r="125" spans="1:17" x14ac:dyDescent="0.3">
      <c r="A125" s="1" t="s">
        <v>128</v>
      </c>
      <c r="B125">
        <v>916.31</v>
      </c>
      <c r="C125">
        <v>1721.002</v>
      </c>
      <c r="D125">
        <v>1721.002</v>
      </c>
      <c r="E125">
        <v>1721.002</v>
      </c>
      <c r="G125" s="2">
        <f t="shared" si="9"/>
        <v>0</v>
      </c>
      <c r="H125" s="2">
        <f t="shared" si="10"/>
        <v>1</v>
      </c>
      <c r="I125" s="2">
        <f t="shared" si="11"/>
        <v>1</v>
      </c>
      <c r="J125" s="2"/>
      <c r="K125" s="2">
        <f t="shared" si="12"/>
        <v>1</v>
      </c>
      <c r="L125" s="2">
        <f t="shared" si="13"/>
        <v>0</v>
      </c>
      <c r="M125" s="2">
        <f t="shared" si="14"/>
        <v>1</v>
      </c>
      <c r="O125" s="3">
        <f t="shared" si="15"/>
        <v>0.53242820171039895</v>
      </c>
      <c r="P125" s="3">
        <f t="shared" si="16"/>
        <v>1</v>
      </c>
      <c r="Q125" s="3">
        <f t="shared" si="17"/>
        <v>0.53242820171039895</v>
      </c>
    </row>
    <row r="126" spans="1:17" x14ac:dyDescent="0.3">
      <c r="A126" s="1" t="s">
        <v>129</v>
      </c>
      <c r="B126">
        <v>932.65200000000004</v>
      </c>
      <c r="C126">
        <v>1007.001</v>
      </c>
      <c r="D126">
        <v>1007.001</v>
      </c>
      <c r="E126">
        <v>1007.001</v>
      </c>
      <c r="G126" s="2">
        <f t="shared" si="9"/>
        <v>0</v>
      </c>
      <c r="H126" s="2">
        <f t="shared" si="10"/>
        <v>1</v>
      </c>
      <c r="I126" s="2">
        <f t="shared" si="11"/>
        <v>1</v>
      </c>
      <c r="J126" s="2"/>
      <c r="K126" s="2">
        <f t="shared" si="12"/>
        <v>1</v>
      </c>
      <c r="L126" s="2">
        <f t="shared" si="13"/>
        <v>0</v>
      </c>
      <c r="M126" s="2">
        <f t="shared" si="14"/>
        <v>1</v>
      </c>
      <c r="O126" s="3">
        <f t="shared" si="15"/>
        <v>0.92616789854230541</v>
      </c>
      <c r="P126" s="3">
        <f t="shared" si="16"/>
        <v>1</v>
      </c>
      <c r="Q126" s="3">
        <f t="shared" si="17"/>
        <v>0.92616789854230541</v>
      </c>
    </row>
    <row r="127" spans="1:17" x14ac:dyDescent="0.3">
      <c r="A127" s="1" t="s">
        <v>130</v>
      </c>
      <c r="B127">
        <v>1409.39</v>
      </c>
      <c r="C127">
        <v>1992.6990000000001</v>
      </c>
      <c r="D127">
        <v>2062</v>
      </c>
      <c r="E127">
        <v>2062</v>
      </c>
      <c r="G127" s="2">
        <f t="shared" si="9"/>
        <v>0</v>
      </c>
      <c r="H127" s="2">
        <f t="shared" si="10"/>
        <v>0</v>
      </c>
      <c r="I127" s="2">
        <f t="shared" si="11"/>
        <v>1</v>
      </c>
      <c r="J127" s="2"/>
      <c r="K127" s="2">
        <f t="shared" si="12"/>
        <v>1</v>
      </c>
      <c r="L127" s="2">
        <f t="shared" si="13"/>
        <v>1</v>
      </c>
      <c r="M127" s="2">
        <f t="shared" si="14"/>
        <v>1</v>
      </c>
      <c r="O127" s="3">
        <f t="shared" si="15"/>
        <v>0.70727691437592932</v>
      </c>
      <c r="P127" s="3">
        <f t="shared" si="16"/>
        <v>0.96639136760426769</v>
      </c>
      <c r="Q127" s="3">
        <f t="shared" si="17"/>
        <v>0.68350630455868089</v>
      </c>
    </row>
    <row r="128" spans="1:17" x14ac:dyDescent="0.3">
      <c r="A128" s="1" t="s">
        <v>131</v>
      </c>
      <c r="B128">
        <v>1267.5060000000001</v>
      </c>
      <c r="C128">
        <v>1849.7149999999999</v>
      </c>
      <c r="D128">
        <v>2069.002</v>
      </c>
      <c r="E128">
        <v>2069.002</v>
      </c>
      <c r="G128" s="2">
        <f t="shared" si="9"/>
        <v>0</v>
      </c>
      <c r="H128" s="2">
        <f t="shared" si="10"/>
        <v>0</v>
      </c>
      <c r="I128" s="2">
        <f t="shared" si="11"/>
        <v>1</v>
      </c>
      <c r="J128" s="2"/>
      <c r="K128" s="2">
        <f t="shared" si="12"/>
        <v>1</v>
      </c>
      <c r="L128" s="2">
        <f t="shared" si="13"/>
        <v>1</v>
      </c>
      <c r="M128" s="2">
        <f t="shared" si="14"/>
        <v>1</v>
      </c>
      <c r="O128" s="3">
        <f t="shared" si="15"/>
        <v>0.68524394298581137</v>
      </c>
      <c r="P128" s="3">
        <f t="shared" si="16"/>
        <v>0.89401315223474886</v>
      </c>
      <c r="Q128" s="3">
        <f t="shared" si="17"/>
        <v>0.61261709751851379</v>
      </c>
    </row>
    <row r="129" spans="1:17" x14ac:dyDescent="0.3">
      <c r="A129" s="1" t="s">
        <v>132</v>
      </c>
      <c r="B129">
        <v>445.74099999999999</v>
      </c>
      <c r="C129">
        <v>780.322</v>
      </c>
      <c r="D129">
        <v>869.00099999999998</v>
      </c>
      <c r="E129">
        <v>869.00099999999998</v>
      </c>
      <c r="G129" s="2">
        <f t="shared" si="9"/>
        <v>0</v>
      </c>
      <c r="H129" s="2">
        <f t="shared" si="10"/>
        <v>0</v>
      </c>
      <c r="I129" s="2">
        <f t="shared" si="11"/>
        <v>1</v>
      </c>
      <c r="J129" s="2"/>
      <c r="K129" s="2">
        <f t="shared" si="12"/>
        <v>1</v>
      </c>
      <c r="L129" s="2">
        <f t="shared" si="13"/>
        <v>1</v>
      </c>
      <c r="M129" s="2">
        <f t="shared" si="14"/>
        <v>1</v>
      </c>
      <c r="O129" s="3">
        <f t="shared" si="15"/>
        <v>0.57122700628714806</v>
      </c>
      <c r="P129" s="3">
        <f t="shared" si="16"/>
        <v>0.89795293676301868</v>
      </c>
      <c r="Q129" s="3">
        <f t="shared" si="17"/>
        <v>0.51293496785389203</v>
      </c>
    </row>
    <row r="130" spans="1:17" x14ac:dyDescent="0.3">
      <c r="A130" s="1" t="s">
        <v>133</v>
      </c>
      <c r="B130">
        <v>693.20100000000002</v>
      </c>
      <c r="C130">
        <v>975.34400000000005</v>
      </c>
      <c r="D130">
        <v>984.99800000000005</v>
      </c>
      <c r="E130">
        <v>984.99800000000005</v>
      </c>
      <c r="G130" s="2">
        <f t="shared" ref="G130:G193" si="18">IF(B130=E130, 1, 0)</f>
        <v>0</v>
      </c>
      <c r="H130" s="2">
        <f t="shared" ref="H130:H193" si="19">IF(C130=E130, 1, 0)</f>
        <v>0</v>
      </c>
      <c r="I130" s="2">
        <f t="shared" ref="I130:I193" si="20">IF(D130=E130, 1, 0)</f>
        <v>1</v>
      </c>
      <c r="J130" s="2"/>
      <c r="K130" s="2">
        <f t="shared" ref="K130:K193" si="21">IF(B130&lt;C130, 1, 0)</f>
        <v>1</v>
      </c>
      <c r="L130" s="2">
        <f t="shared" ref="L130:L193" si="22">IF(C130&lt;D130, 1, 0)</f>
        <v>1</v>
      </c>
      <c r="M130" s="2">
        <f t="shared" ref="M130:M193" si="23">IF(B130&lt;D130, 1, 0)</f>
        <v>1</v>
      </c>
      <c r="O130" s="3">
        <f t="shared" si="15"/>
        <v>0.71072462638822809</v>
      </c>
      <c r="P130" s="3">
        <f t="shared" si="16"/>
        <v>0.99019896487099468</v>
      </c>
      <c r="Q130" s="3">
        <f t="shared" si="17"/>
        <v>0.70375878935794789</v>
      </c>
    </row>
    <row r="131" spans="1:17" x14ac:dyDescent="0.3">
      <c r="A131" s="1" t="s">
        <v>134</v>
      </c>
      <c r="B131">
        <v>1155.6980000000001</v>
      </c>
      <c r="C131">
        <v>1376.0029999999999</v>
      </c>
      <c r="D131">
        <v>1376.0029999999999</v>
      </c>
      <c r="E131">
        <v>1376.0029999999999</v>
      </c>
      <c r="G131" s="2">
        <f t="shared" si="18"/>
        <v>0</v>
      </c>
      <c r="H131" s="2">
        <f t="shared" si="19"/>
        <v>1</v>
      </c>
      <c r="I131" s="2">
        <f t="shared" si="20"/>
        <v>1</v>
      </c>
      <c r="J131" s="2"/>
      <c r="K131" s="2">
        <f t="shared" si="21"/>
        <v>1</v>
      </c>
      <c r="L131" s="2">
        <f t="shared" si="22"/>
        <v>0</v>
      </c>
      <c r="M131" s="2">
        <f t="shared" si="23"/>
        <v>1</v>
      </c>
      <c r="O131" s="3">
        <f t="shared" ref="O131:O194" si="24">IF(B131&lt;C131, B131/C131, 1)</f>
        <v>0.83989497115921996</v>
      </c>
      <c r="P131" s="3">
        <f t="shared" ref="P131:P194" si="25">IF(C131&lt;D131, C131/D131, 1)</f>
        <v>1</v>
      </c>
      <c r="Q131" s="3">
        <f t="shared" ref="Q131:Q194" si="26">IF(B131&lt;D131, B131/D131, 1)</f>
        <v>0.83989497115921996</v>
      </c>
    </row>
    <row r="132" spans="1:17" x14ac:dyDescent="0.3">
      <c r="A132" s="1" t="s">
        <v>135</v>
      </c>
      <c r="B132">
        <v>516.09100000000001</v>
      </c>
      <c r="C132">
        <v>1149.615</v>
      </c>
      <c r="D132">
        <v>1149.7460000000001</v>
      </c>
      <c r="E132">
        <v>1154</v>
      </c>
      <c r="G132" s="2">
        <f t="shared" si="18"/>
        <v>0</v>
      </c>
      <c r="H132" s="2">
        <f t="shared" si="19"/>
        <v>0</v>
      </c>
      <c r="I132" s="2">
        <f t="shared" si="20"/>
        <v>0</v>
      </c>
      <c r="J132" s="2"/>
      <c r="K132" s="2">
        <f t="shared" si="21"/>
        <v>1</v>
      </c>
      <c r="L132" s="2">
        <f t="shared" si="22"/>
        <v>1</v>
      </c>
      <c r="M132" s="2">
        <f t="shared" si="23"/>
        <v>1</v>
      </c>
      <c r="O132" s="3">
        <f t="shared" si="24"/>
        <v>0.44892507491638506</v>
      </c>
      <c r="P132" s="3">
        <f t="shared" si="25"/>
        <v>0.999886061791039</v>
      </c>
      <c r="Q132" s="3">
        <f t="shared" si="26"/>
        <v>0.44887392519739139</v>
      </c>
    </row>
    <row r="133" spans="1:17" x14ac:dyDescent="0.3">
      <c r="A133" s="1" t="s">
        <v>136</v>
      </c>
      <c r="B133">
        <v>671.26800000000003</v>
      </c>
      <c r="C133">
        <v>896.00099999999998</v>
      </c>
      <c r="D133">
        <v>896.00099999999998</v>
      </c>
      <c r="E133">
        <v>896.00099999999998</v>
      </c>
      <c r="G133" s="2">
        <f t="shared" si="18"/>
        <v>0</v>
      </c>
      <c r="H133" s="2">
        <f t="shared" si="19"/>
        <v>1</v>
      </c>
      <c r="I133" s="2">
        <f t="shared" si="20"/>
        <v>1</v>
      </c>
      <c r="J133" s="2"/>
      <c r="K133" s="2">
        <f t="shared" si="21"/>
        <v>1</v>
      </c>
      <c r="L133" s="2">
        <f t="shared" si="22"/>
        <v>0</v>
      </c>
      <c r="M133" s="2">
        <f t="shared" si="23"/>
        <v>1</v>
      </c>
      <c r="O133" s="3">
        <f t="shared" si="24"/>
        <v>0.74918219957343801</v>
      </c>
      <c r="P133" s="3">
        <f t="shared" si="25"/>
        <v>1</v>
      </c>
      <c r="Q133" s="3">
        <f t="shared" si="26"/>
        <v>0.74918219957343801</v>
      </c>
    </row>
    <row r="134" spans="1:17" x14ac:dyDescent="0.3">
      <c r="A134" s="1" t="s">
        <v>137</v>
      </c>
      <c r="B134">
        <v>467.41899999999998</v>
      </c>
      <c r="C134">
        <v>702.351</v>
      </c>
      <c r="D134">
        <v>994.00099999999998</v>
      </c>
      <c r="E134">
        <v>994.00099999999998</v>
      </c>
      <c r="G134" s="2">
        <f t="shared" si="18"/>
        <v>0</v>
      </c>
      <c r="H134" s="2">
        <f t="shared" si="19"/>
        <v>0</v>
      </c>
      <c r="I134" s="2">
        <f t="shared" si="20"/>
        <v>1</v>
      </c>
      <c r="J134" s="2"/>
      <c r="K134" s="2">
        <f t="shared" si="21"/>
        <v>1</v>
      </c>
      <c r="L134" s="2">
        <f t="shared" si="22"/>
        <v>1</v>
      </c>
      <c r="M134" s="2">
        <f t="shared" si="23"/>
        <v>1</v>
      </c>
      <c r="O134" s="3">
        <f t="shared" si="24"/>
        <v>0.66550627819993136</v>
      </c>
      <c r="P134" s="3">
        <f t="shared" si="25"/>
        <v>0.70658983240459516</v>
      </c>
      <c r="Q134" s="3">
        <f t="shared" si="26"/>
        <v>0.47023996957749536</v>
      </c>
    </row>
    <row r="135" spans="1:17" x14ac:dyDescent="0.3">
      <c r="A135" s="1" t="s">
        <v>138</v>
      </c>
      <c r="B135">
        <v>931.67</v>
      </c>
      <c r="C135">
        <v>1261.636</v>
      </c>
      <c r="D135">
        <v>1505.002</v>
      </c>
      <c r="E135">
        <v>1505.002</v>
      </c>
      <c r="G135" s="2">
        <f t="shared" si="18"/>
        <v>0</v>
      </c>
      <c r="H135" s="2">
        <f t="shared" si="19"/>
        <v>0</v>
      </c>
      <c r="I135" s="2">
        <f t="shared" si="20"/>
        <v>1</v>
      </c>
      <c r="J135" s="2"/>
      <c r="K135" s="2">
        <f t="shared" si="21"/>
        <v>1</v>
      </c>
      <c r="L135" s="2">
        <f t="shared" si="22"/>
        <v>1</v>
      </c>
      <c r="M135" s="2">
        <f t="shared" si="23"/>
        <v>1</v>
      </c>
      <c r="O135" s="3">
        <f t="shared" si="24"/>
        <v>0.73846180673347939</v>
      </c>
      <c r="P135" s="3">
        <f t="shared" si="25"/>
        <v>0.83829523150135354</v>
      </c>
      <c r="Q135" s="3">
        <f t="shared" si="26"/>
        <v>0.61904901123054989</v>
      </c>
    </row>
    <row r="136" spans="1:17" x14ac:dyDescent="0.3">
      <c r="A136" s="1" t="s">
        <v>139</v>
      </c>
      <c r="B136">
        <v>1113</v>
      </c>
      <c r="C136">
        <v>1113</v>
      </c>
      <c r="D136">
        <v>1113</v>
      </c>
      <c r="E136">
        <v>1113</v>
      </c>
      <c r="G136" s="2">
        <f t="shared" si="18"/>
        <v>1</v>
      </c>
      <c r="H136" s="2">
        <f t="shared" si="19"/>
        <v>1</v>
      </c>
      <c r="I136" s="2">
        <f t="shared" si="20"/>
        <v>1</v>
      </c>
      <c r="J136" s="2"/>
      <c r="K136" s="2">
        <f t="shared" si="21"/>
        <v>0</v>
      </c>
      <c r="L136" s="2">
        <f t="shared" si="22"/>
        <v>0</v>
      </c>
      <c r="M136" s="2">
        <f t="shared" si="23"/>
        <v>0</v>
      </c>
      <c r="O136" s="3">
        <f t="shared" si="24"/>
        <v>1</v>
      </c>
      <c r="P136" s="3">
        <f t="shared" si="25"/>
        <v>1</v>
      </c>
      <c r="Q136" s="3">
        <f t="shared" si="26"/>
        <v>1</v>
      </c>
    </row>
    <row r="137" spans="1:17" x14ac:dyDescent="0.3">
      <c r="A137" s="1" t="s">
        <v>140</v>
      </c>
      <c r="B137">
        <v>1173.204</v>
      </c>
      <c r="C137">
        <v>1298.53</v>
      </c>
      <c r="D137">
        <v>1701.999</v>
      </c>
      <c r="E137">
        <v>1701.999</v>
      </c>
      <c r="G137" s="2">
        <f t="shared" si="18"/>
        <v>0</v>
      </c>
      <c r="H137" s="2">
        <f t="shared" si="19"/>
        <v>0</v>
      </c>
      <c r="I137" s="2">
        <f t="shared" si="20"/>
        <v>1</v>
      </c>
      <c r="J137" s="2"/>
      <c r="K137" s="2">
        <f t="shared" si="21"/>
        <v>1</v>
      </c>
      <c r="L137" s="2">
        <f t="shared" si="22"/>
        <v>1</v>
      </c>
      <c r="M137" s="2">
        <f t="shared" si="23"/>
        <v>1</v>
      </c>
      <c r="O137" s="3">
        <f t="shared" si="24"/>
        <v>0.90348624983635339</v>
      </c>
      <c r="P137" s="3">
        <f t="shared" si="25"/>
        <v>0.76294404403292826</v>
      </c>
      <c r="Q137" s="3">
        <f t="shared" si="26"/>
        <v>0.68930945317829206</v>
      </c>
    </row>
    <row r="138" spans="1:17" x14ac:dyDescent="0.3">
      <c r="A138" s="1" t="s">
        <v>141</v>
      </c>
      <c r="B138">
        <v>242.12899999999999</v>
      </c>
      <c r="C138">
        <v>387.67</v>
      </c>
      <c r="D138">
        <v>518.00400000000002</v>
      </c>
      <c r="E138">
        <v>518.00400000000002</v>
      </c>
      <c r="G138" s="2">
        <f t="shared" si="18"/>
        <v>0</v>
      </c>
      <c r="H138" s="2">
        <f t="shared" si="19"/>
        <v>0</v>
      </c>
      <c r="I138" s="2">
        <f t="shared" si="20"/>
        <v>1</v>
      </c>
      <c r="J138" s="2"/>
      <c r="K138" s="2">
        <f t="shared" si="21"/>
        <v>1</v>
      </c>
      <c r="L138" s="2">
        <f t="shared" si="22"/>
        <v>1</v>
      </c>
      <c r="M138" s="2">
        <f t="shared" si="23"/>
        <v>1</v>
      </c>
      <c r="O138" s="3">
        <f t="shared" si="24"/>
        <v>0.62457502515025665</v>
      </c>
      <c r="P138" s="3">
        <f t="shared" si="25"/>
        <v>0.74839190430961922</v>
      </c>
      <c r="Q138" s="3">
        <f t="shared" si="26"/>
        <v>0.46742689245642888</v>
      </c>
    </row>
    <row r="139" spans="1:17" x14ac:dyDescent="0.3">
      <c r="A139" s="1" t="s">
        <v>142</v>
      </c>
      <c r="B139">
        <v>1055.3409999999999</v>
      </c>
      <c r="C139">
        <v>1191.998</v>
      </c>
      <c r="D139">
        <v>1191.998</v>
      </c>
      <c r="E139">
        <v>1191.998</v>
      </c>
      <c r="G139" s="2">
        <f t="shared" si="18"/>
        <v>0</v>
      </c>
      <c r="H139" s="2">
        <f t="shared" si="19"/>
        <v>1</v>
      </c>
      <c r="I139" s="2">
        <f t="shared" si="20"/>
        <v>1</v>
      </c>
      <c r="J139" s="2"/>
      <c r="K139" s="2">
        <f t="shared" si="21"/>
        <v>1</v>
      </c>
      <c r="L139" s="2">
        <f t="shared" si="22"/>
        <v>0</v>
      </c>
      <c r="M139" s="2">
        <f t="shared" si="23"/>
        <v>1</v>
      </c>
      <c r="O139" s="3">
        <f t="shared" si="24"/>
        <v>0.88535467341388141</v>
      </c>
      <c r="P139" s="3">
        <f t="shared" si="25"/>
        <v>1</v>
      </c>
      <c r="Q139" s="3">
        <f t="shared" si="26"/>
        <v>0.88535467341388141</v>
      </c>
    </row>
    <row r="140" spans="1:17" x14ac:dyDescent="0.3">
      <c r="A140" s="1" t="s">
        <v>143</v>
      </c>
      <c r="B140">
        <v>1782.001</v>
      </c>
      <c r="C140">
        <v>1782.001</v>
      </c>
      <c r="D140">
        <v>1782.001</v>
      </c>
      <c r="E140">
        <v>1782.001</v>
      </c>
      <c r="G140" s="2">
        <f t="shared" si="18"/>
        <v>1</v>
      </c>
      <c r="H140" s="2">
        <f t="shared" si="19"/>
        <v>1</v>
      </c>
      <c r="I140" s="2">
        <f t="shared" si="20"/>
        <v>1</v>
      </c>
      <c r="J140" s="2"/>
      <c r="K140" s="2">
        <f t="shared" si="21"/>
        <v>0</v>
      </c>
      <c r="L140" s="2">
        <f t="shared" si="22"/>
        <v>0</v>
      </c>
      <c r="M140" s="2">
        <f t="shared" si="23"/>
        <v>0</v>
      </c>
      <c r="O140" s="3">
        <f t="shared" si="24"/>
        <v>1</v>
      </c>
      <c r="P140" s="3">
        <f t="shared" si="25"/>
        <v>1</v>
      </c>
      <c r="Q140" s="3">
        <f t="shared" si="26"/>
        <v>1</v>
      </c>
    </row>
    <row r="141" spans="1:17" x14ac:dyDescent="0.3">
      <c r="A141" s="1" t="s">
        <v>144</v>
      </c>
      <c r="B141">
        <v>221.67599999999999</v>
      </c>
      <c r="C141">
        <v>272</v>
      </c>
      <c r="D141">
        <v>272</v>
      </c>
      <c r="E141">
        <v>272</v>
      </c>
      <c r="G141" s="2">
        <f t="shared" si="18"/>
        <v>0</v>
      </c>
      <c r="H141" s="2">
        <f t="shared" si="19"/>
        <v>1</v>
      </c>
      <c r="I141" s="2">
        <f t="shared" si="20"/>
        <v>1</v>
      </c>
      <c r="J141" s="2"/>
      <c r="K141" s="2">
        <f t="shared" si="21"/>
        <v>1</v>
      </c>
      <c r="L141" s="2">
        <f t="shared" si="22"/>
        <v>0</v>
      </c>
      <c r="M141" s="2">
        <f t="shared" si="23"/>
        <v>1</v>
      </c>
      <c r="O141" s="3">
        <f t="shared" si="24"/>
        <v>0.81498529411764697</v>
      </c>
      <c r="P141" s="3">
        <f t="shared" si="25"/>
        <v>1</v>
      </c>
      <c r="Q141" s="3">
        <f t="shared" si="26"/>
        <v>0.81498529411764697</v>
      </c>
    </row>
    <row r="142" spans="1:17" x14ac:dyDescent="0.3">
      <c r="A142" s="1" t="s">
        <v>145</v>
      </c>
      <c r="B142">
        <v>576.63199999999995</v>
      </c>
      <c r="C142">
        <v>773</v>
      </c>
      <c r="D142">
        <v>773</v>
      </c>
      <c r="E142">
        <v>773</v>
      </c>
      <c r="G142" s="2">
        <f t="shared" si="18"/>
        <v>0</v>
      </c>
      <c r="H142" s="2">
        <f t="shared" si="19"/>
        <v>1</v>
      </c>
      <c r="I142" s="2">
        <f t="shared" si="20"/>
        <v>1</v>
      </c>
      <c r="J142" s="2"/>
      <c r="K142" s="2">
        <f t="shared" si="21"/>
        <v>1</v>
      </c>
      <c r="L142" s="2">
        <f t="shared" si="22"/>
        <v>0</v>
      </c>
      <c r="M142" s="2">
        <f t="shared" si="23"/>
        <v>1</v>
      </c>
      <c r="O142" s="3">
        <f t="shared" si="24"/>
        <v>0.74596636481241907</v>
      </c>
      <c r="P142" s="3">
        <f t="shared" si="25"/>
        <v>1</v>
      </c>
      <c r="Q142" s="3">
        <f t="shared" si="26"/>
        <v>0.74596636481241907</v>
      </c>
    </row>
    <row r="143" spans="1:17" x14ac:dyDescent="0.3">
      <c r="A143" s="1" t="s">
        <v>146</v>
      </c>
      <c r="B143">
        <v>497.06299999999999</v>
      </c>
      <c r="C143">
        <v>939.99199999999996</v>
      </c>
      <c r="D143">
        <v>1018.999</v>
      </c>
      <c r="E143">
        <v>1018.999</v>
      </c>
      <c r="G143" s="2">
        <f t="shared" si="18"/>
        <v>0</v>
      </c>
      <c r="H143" s="2">
        <f t="shared" si="19"/>
        <v>0</v>
      </c>
      <c r="I143" s="2">
        <f t="shared" si="20"/>
        <v>1</v>
      </c>
      <c r="J143" s="2"/>
      <c r="K143" s="2">
        <f t="shared" si="21"/>
        <v>1</v>
      </c>
      <c r="L143" s="2">
        <f t="shared" si="22"/>
        <v>1</v>
      </c>
      <c r="M143" s="2">
        <f t="shared" si="23"/>
        <v>1</v>
      </c>
      <c r="O143" s="3">
        <f t="shared" si="24"/>
        <v>0.52879492591426314</v>
      </c>
      <c r="P143" s="3">
        <f t="shared" si="25"/>
        <v>0.92246606718946722</v>
      </c>
      <c r="Q143" s="3">
        <f t="shared" si="26"/>
        <v>0.48779537565787601</v>
      </c>
    </row>
    <row r="144" spans="1:17" x14ac:dyDescent="0.3">
      <c r="A144" s="1" t="s">
        <v>147</v>
      </c>
      <c r="B144">
        <v>893.47799999999995</v>
      </c>
      <c r="C144">
        <v>1315.3720000000001</v>
      </c>
      <c r="D144">
        <v>1505.002</v>
      </c>
      <c r="E144">
        <v>1505.002</v>
      </c>
      <c r="G144" s="2">
        <f t="shared" si="18"/>
        <v>0</v>
      </c>
      <c r="H144" s="2">
        <f t="shared" si="19"/>
        <v>0</v>
      </c>
      <c r="I144" s="2">
        <f t="shared" si="20"/>
        <v>1</v>
      </c>
      <c r="J144" s="2"/>
      <c r="K144" s="2">
        <f t="shared" si="21"/>
        <v>1</v>
      </c>
      <c r="L144" s="2">
        <f t="shared" si="22"/>
        <v>1</v>
      </c>
      <c r="M144" s="2">
        <f t="shared" si="23"/>
        <v>1</v>
      </c>
      <c r="O144" s="3">
        <f t="shared" si="24"/>
        <v>0.67925879523055066</v>
      </c>
      <c r="P144" s="3">
        <f t="shared" si="25"/>
        <v>0.874000167441638</v>
      </c>
      <c r="Q144" s="3">
        <f t="shared" si="26"/>
        <v>0.59367230076770661</v>
      </c>
    </row>
    <row r="145" spans="1:17" x14ac:dyDescent="0.3">
      <c r="A145" s="1" t="s">
        <v>148</v>
      </c>
      <c r="B145">
        <v>501.30500000000001</v>
      </c>
      <c r="C145">
        <v>869.48299999999995</v>
      </c>
      <c r="D145">
        <v>902.00199999999995</v>
      </c>
      <c r="E145">
        <v>902.00199999999995</v>
      </c>
      <c r="G145" s="2">
        <f t="shared" si="18"/>
        <v>0</v>
      </c>
      <c r="H145" s="2">
        <f t="shared" si="19"/>
        <v>0</v>
      </c>
      <c r="I145" s="2">
        <f t="shared" si="20"/>
        <v>1</v>
      </c>
      <c r="J145" s="2"/>
      <c r="K145" s="2">
        <f t="shared" si="21"/>
        <v>1</v>
      </c>
      <c r="L145" s="2">
        <f t="shared" si="22"/>
        <v>1</v>
      </c>
      <c r="M145" s="2">
        <f t="shared" si="23"/>
        <v>1</v>
      </c>
      <c r="O145" s="3">
        <f t="shared" si="24"/>
        <v>0.57655526330014506</v>
      </c>
      <c r="P145" s="3">
        <f t="shared" si="25"/>
        <v>0.96394797350781924</v>
      </c>
      <c r="Q145" s="3">
        <f t="shared" si="26"/>
        <v>0.55576927767344197</v>
      </c>
    </row>
    <row r="146" spans="1:17" x14ac:dyDescent="0.3">
      <c r="A146" s="1" t="s">
        <v>149</v>
      </c>
      <c r="B146">
        <v>1439.077</v>
      </c>
      <c r="C146">
        <v>1753.001</v>
      </c>
      <c r="D146">
        <v>1753.001</v>
      </c>
      <c r="E146">
        <v>1753.001</v>
      </c>
      <c r="G146" s="2">
        <f t="shared" si="18"/>
        <v>0</v>
      </c>
      <c r="H146" s="2">
        <f t="shared" si="19"/>
        <v>1</v>
      </c>
      <c r="I146" s="2">
        <f t="shared" si="20"/>
        <v>1</v>
      </c>
      <c r="J146" s="2"/>
      <c r="K146" s="2">
        <f t="shared" si="21"/>
        <v>1</v>
      </c>
      <c r="L146" s="2">
        <f t="shared" si="22"/>
        <v>0</v>
      </c>
      <c r="M146" s="2">
        <f t="shared" si="23"/>
        <v>1</v>
      </c>
      <c r="O146" s="3">
        <f t="shared" si="24"/>
        <v>0.82092195041531635</v>
      </c>
      <c r="P146" s="3">
        <f t="shared" si="25"/>
        <v>1</v>
      </c>
      <c r="Q146" s="3">
        <f t="shared" si="26"/>
        <v>0.82092195041531635</v>
      </c>
    </row>
    <row r="147" spans="1:17" x14ac:dyDescent="0.3">
      <c r="A147" s="1" t="s">
        <v>150</v>
      </c>
      <c r="B147">
        <v>1198.893</v>
      </c>
      <c r="C147">
        <v>1731.8920000000001</v>
      </c>
      <c r="D147">
        <v>1743</v>
      </c>
      <c r="E147">
        <v>1743</v>
      </c>
      <c r="G147" s="2">
        <f t="shared" si="18"/>
        <v>0</v>
      </c>
      <c r="H147" s="2">
        <f t="shared" si="19"/>
        <v>0</v>
      </c>
      <c r="I147" s="2">
        <f t="shared" si="20"/>
        <v>1</v>
      </c>
      <c r="J147" s="2"/>
      <c r="K147" s="2">
        <f t="shared" si="21"/>
        <v>1</v>
      </c>
      <c r="L147" s="2">
        <f t="shared" si="22"/>
        <v>1</v>
      </c>
      <c r="M147" s="2">
        <f t="shared" si="23"/>
        <v>1</v>
      </c>
      <c r="O147" s="3">
        <f t="shared" si="24"/>
        <v>0.69224466652655015</v>
      </c>
      <c r="P147" s="3">
        <f t="shared" si="25"/>
        <v>0.9936270797475617</v>
      </c>
      <c r="Q147" s="3">
        <f t="shared" si="26"/>
        <v>0.68783304647160071</v>
      </c>
    </row>
    <row r="148" spans="1:17" x14ac:dyDescent="0.3">
      <c r="A148" s="1" t="s">
        <v>151</v>
      </c>
      <c r="B148">
        <v>1103.319</v>
      </c>
      <c r="C148">
        <v>1127.9960000000001</v>
      </c>
      <c r="D148">
        <v>1127.9960000000001</v>
      </c>
      <c r="E148">
        <v>1127.9960000000001</v>
      </c>
      <c r="G148" s="2">
        <f t="shared" si="18"/>
        <v>0</v>
      </c>
      <c r="H148" s="2">
        <f t="shared" si="19"/>
        <v>1</v>
      </c>
      <c r="I148" s="2">
        <f t="shared" si="20"/>
        <v>1</v>
      </c>
      <c r="J148" s="2"/>
      <c r="K148" s="2">
        <f t="shared" si="21"/>
        <v>1</v>
      </c>
      <c r="L148" s="2">
        <f t="shared" si="22"/>
        <v>0</v>
      </c>
      <c r="M148" s="2">
        <f t="shared" si="23"/>
        <v>1</v>
      </c>
      <c r="O148" s="3">
        <f t="shared" si="24"/>
        <v>0.97812314937287004</v>
      </c>
      <c r="P148" s="3">
        <f t="shared" si="25"/>
        <v>1</v>
      </c>
      <c r="Q148" s="3">
        <f t="shared" si="26"/>
        <v>0.97812314937287004</v>
      </c>
    </row>
    <row r="149" spans="1:17" x14ac:dyDescent="0.3">
      <c r="A149" s="1" t="s">
        <v>152</v>
      </c>
      <c r="B149">
        <v>1530.037</v>
      </c>
      <c r="C149">
        <v>1753</v>
      </c>
      <c r="D149">
        <v>1753</v>
      </c>
      <c r="E149">
        <v>1753</v>
      </c>
      <c r="G149" s="2">
        <f t="shared" si="18"/>
        <v>0</v>
      </c>
      <c r="H149" s="2">
        <f t="shared" si="19"/>
        <v>1</v>
      </c>
      <c r="I149" s="2">
        <f t="shared" si="20"/>
        <v>1</v>
      </c>
      <c r="J149" s="2"/>
      <c r="K149" s="2">
        <f t="shared" si="21"/>
        <v>1</v>
      </c>
      <c r="L149" s="2">
        <f t="shared" si="22"/>
        <v>0</v>
      </c>
      <c r="M149" s="2">
        <f t="shared" si="23"/>
        <v>1</v>
      </c>
      <c r="O149" s="3">
        <f t="shared" si="24"/>
        <v>0.87281061038220198</v>
      </c>
      <c r="P149" s="3">
        <f t="shared" si="25"/>
        <v>1</v>
      </c>
      <c r="Q149" s="3">
        <f t="shared" si="26"/>
        <v>0.87281061038220198</v>
      </c>
    </row>
    <row r="150" spans="1:17" x14ac:dyDescent="0.3">
      <c r="A150" s="1" t="s">
        <v>153</v>
      </c>
      <c r="B150">
        <v>595.60900000000004</v>
      </c>
      <c r="C150">
        <v>892.23400000000004</v>
      </c>
      <c r="D150">
        <v>962</v>
      </c>
      <c r="E150">
        <v>962</v>
      </c>
      <c r="G150" s="2">
        <f t="shared" si="18"/>
        <v>0</v>
      </c>
      <c r="H150" s="2">
        <f t="shared" si="19"/>
        <v>0</v>
      </c>
      <c r="I150" s="2">
        <f t="shared" si="20"/>
        <v>1</v>
      </c>
      <c r="J150" s="2"/>
      <c r="K150" s="2">
        <f t="shared" si="21"/>
        <v>1</v>
      </c>
      <c r="L150" s="2">
        <f t="shared" si="22"/>
        <v>1</v>
      </c>
      <c r="M150" s="2">
        <f t="shared" si="23"/>
        <v>1</v>
      </c>
      <c r="O150" s="3">
        <f t="shared" si="24"/>
        <v>0.66754797508276975</v>
      </c>
      <c r="P150" s="3">
        <f t="shared" si="25"/>
        <v>0.92747817047817049</v>
      </c>
      <c r="Q150" s="3">
        <f t="shared" si="26"/>
        <v>0.61913617463617465</v>
      </c>
    </row>
    <row r="151" spans="1:17" x14ac:dyDescent="0.3">
      <c r="A151" s="1" t="s">
        <v>154</v>
      </c>
      <c r="B151">
        <v>1246.1510000000001</v>
      </c>
      <c r="C151">
        <v>1369.002</v>
      </c>
      <c r="D151">
        <v>1369.002</v>
      </c>
      <c r="E151">
        <v>1369.002</v>
      </c>
      <c r="G151" s="2">
        <f t="shared" si="18"/>
        <v>0</v>
      </c>
      <c r="H151" s="2">
        <f t="shared" si="19"/>
        <v>1</v>
      </c>
      <c r="I151" s="2">
        <f t="shared" si="20"/>
        <v>1</v>
      </c>
      <c r="J151" s="2"/>
      <c r="K151" s="2">
        <f t="shared" si="21"/>
        <v>1</v>
      </c>
      <c r="L151" s="2">
        <f t="shared" si="22"/>
        <v>0</v>
      </c>
      <c r="M151" s="2">
        <f t="shared" si="23"/>
        <v>1</v>
      </c>
      <c r="O151" s="3">
        <f t="shared" si="24"/>
        <v>0.91026236630771917</v>
      </c>
      <c r="P151" s="3">
        <f t="shared" si="25"/>
        <v>1</v>
      </c>
      <c r="Q151" s="3">
        <f t="shared" si="26"/>
        <v>0.91026236630771917</v>
      </c>
    </row>
    <row r="152" spans="1:17" x14ac:dyDescent="0.3">
      <c r="A152" s="1" t="s">
        <v>155</v>
      </c>
      <c r="B152">
        <v>954.00199999999995</v>
      </c>
      <c r="C152">
        <v>954.00199999999995</v>
      </c>
      <c r="D152">
        <v>954.00199999999995</v>
      </c>
      <c r="E152">
        <v>954.00199999999995</v>
      </c>
      <c r="G152" s="2">
        <f t="shared" si="18"/>
        <v>1</v>
      </c>
      <c r="H152" s="2">
        <f t="shared" si="19"/>
        <v>1</v>
      </c>
      <c r="I152" s="2">
        <f t="shared" si="20"/>
        <v>1</v>
      </c>
      <c r="J152" s="2"/>
      <c r="K152" s="2">
        <f t="shared" si="21"/>
        <v>0</v>
      </c>
      <c r="L152" s="2">
        <f t="shared" si="22"/>
        <v>0</v>
      </c>
      <c r="M152" s="2">
        <f t="shared" si="23"/>
        <v>0</v>
      </c>
      <c r="O152" s="3">
        <f t="shared" si="24"/>
        <v>1</v>
      </c>
      <c r="P152" s="3">
        <f t="shared" si="25"/>
        <v>1</v>
      </c>
      <c r="Q152" s="3">
        <f t="shared" si="26"/>
        <v>1</v>
      </c>
    </row>
    <row r="153" spans="1:17" x14ac:dyDescent="0.3">
      <c r="A153" s="1" t="s">
        <v>156</v>
      </c>
      <c r="B153">
        <v>312.39699999999999</v>
      </c>
      <c r="C153">
        <v>419.41399999999999</v>
      </c>
      <c r="D153">
        <v>440.00200000000001</v>
      </c>
      <c r="E153">
        <v>440.00200000000001</v>
      </c>
      <c r="G153" s="2">
        <f t="shared" si="18"/>
        <v>0</v>
      </c>
      <c r="H153" s="2">
        <f t="shared" si="19"/>
        <v>0</v>
      </c>
      <c r="I153" s="2">
        <f t="shared" si="20"/>
        <v>1</v>
      </c>
      <c r="J153" s="2"/>
      <c r="K153" s="2">
        <f t="shared" si="21"/>
        <v>1</v>
      </c>
      <c r="L153" s="2">
        <f t="shared" si="22"/>
        <v>1</v>
      </c>
      <c r="M153" s="2">
        <f t="shared" si="23"/>
        <v>1</v>
      </c>
      <c r="O153" s="3">
        <f t="shared" si="24"/>
        <v>0.74484161234484303</v>
      </c>
      <c r="P153" s="3">
        <f t="shared" si="25"/>
        <v>0.95320930359407452</v>
      </c>
      <c r="Q153" s="3">
        <f t="shared" si="26"/>
        <v>0.70998995459111547</v>
      </c>
    </row>
    <row r="154" spans="1:17" x14ac:dyDescent="0.3">
      <c r="A154" s="1" t="s">
        <v>157</v>
      </c>
      <c r="B154">
        <v>2749.0010000000002</v>
      </c>
      <c r="C154">
        <v>2749.0010000000002</v>
      </c>
      <c r="D154">
        <v>2749.0010000000002</v>
      </c>
      <c r="E154">
        <v>2749.0010000000002</v>
      </c>
      <c r="G154" s="2">
        <f t="shared" si="18"/>
        <v>1</v>
      </c>
      <c r="H154" s="2">
        <f t="shared" si="19"/>
        <v>1</v>
      </c>
      <c r="I154" s="2">
        <f t="shared" si="20"/>
        <v>1</v>
      </c>
      <c r="J154" s="2"/>
      <c r="K154" s="2">
        <f t="shared" si="21"/>
        <v>0</v>
      </c>
      <c r="L154" s="2">
        <f t="shared" si="22"/>
        <v>0</v>
      </c>
      <c r="M154" s="2">
        <f t="shared" si="23"/>
        <v>0</v>
      </c>
      <c r="O154" s="3">
        <f t="shared" si="24"/>
        <v>1</v>
      </c>
      <c r="P154" s="3">
        <f t="shared" si="25"/>
        <v>1</v>
      </c>
      <c r="Q154" s="3">
        <f t="shared" si="26"/>
        <v>1</v>
      </c>
    </row>
    <row r="155" spans="1:17" x14ac:dyDescent="0.3">
      <c r="A155" s="1" t="s">
        <v>158</v>
      </c>
      <c r="B155">
        <v>1664.1110000000001</v>
      </c>
      <c r="C155">
        <v>2194.0949999999998</v>
      </c>
      <c r="D155">
        <v>3186.9969999999998</v>
      </c>
      <c r="E155">
        <v>3186.9969999999998</v>
      </c>
      <c r="G155" s="2">
        <f t="shared" si="18"/>
        <v>0</v>
      </c>
      <c r="H155" s="2">
        <f t="shared" si="19"/>
        <v>0</v>
      </c>
      <c r="I155" s="2">
        <f t="shared" si="20"/>
        <v>1</v>
      </c>
      <c r="J155" s="2"/>
      <c r="K155" s="2">
        <f t="shared" si="21"/>
        <v>1</v>
      </c>
      <c r="L155" s="2">
        <f t="shared" si="22"/>
        <v>1</v>
      </c>
      <c r="M155" s="2">
        <f t="shared" si="23"/>
        <v>1</v>
      </c>
      <c r="O155" s="3">
        <f t="shared" si="24"/>
        <v>0.75844983922756315</v>
      </c>
      <c r="P155" s="3">
        <f t="shared" si="25"/>
        <v>0.68845216986398161</v>
      </c>
      <c r="Q155" s="3">
        <f t="shared" si="26"/>
        <v>0.52215643754920393</v>
      </c>
    </row>
    <row r="156" spans="1:17" x14ac:dyDescent="0.3">
      <c r="A156" s="1" t="s">
        <v>159</v>
      </c>
      <c r="B156">
        <v>2254.652</v>
      </c>
      <c r="C156">
        <v>3252.1640000000002</v>
      </c>
      <c r="D156">
        <v>3252.1640000000002</v>
      </c>
      <c r="E156">
        <v>3560.9989999999998</v>
      </c>
      <c r="G156" s="2">
        <f t="shared" si="18"/>
        <v>0</v>
      </c>
      <c r="H156" s="2">
        <f t="shared" si="19"/>
        <v>0</v>
      </c>
      <c r="I156" s="2">
        <f t="shared" si="20"/>
        <v>0</v>
      </c>
      <c r="J156" s="2"/>
      <c r="K156" s="2">
        <f t="shared" si="21"/>
        <v>1</v>
      </c>
      <c r="L156" s="2">
        <f t="shared" si="22"/>
        <v>0</v>
      </c>
      <c r="M156" s="2">
        <f t="shared" si="23"/>
        <v>1</v>
      </c>
      <c r="O156" s="3">
        <f t="shared" si="24"/>
        <v>0.69327746079226016</v>
      </c>
      <c r="P156" s="3">
        <f t="shared" si="25"/>
        <v>1</v>
      </c>
      <c r="Q156" s="3">
        <f t="shared" si="26"/>
        <v>0.69327746079226016</v>
      </c>
    </row>
    <row r="157" spans="1:17" x14ac:dyDescent="0.3">
      <c r="A157" s="1" t="s">
        <v>160</v>
      </c>
      <c r="B157">
        <v>739.99699999999996</v>
      </c>
      <c r="C157">
        <v>1574.6130000000001</v>
      </c>
      <c r="D157">
        <v>2017.5550000000001</v>
      </c>
      <c r="E157">
        <v>2278</v>
      </c>
      <c r="G157" s="2">
        <f t="shared" si="18"/>
        <v>0</v>
      </c>
      <c r="H157" s="2">
        <f t="shared" si="19"/>
        <v>0</v>
      </c>
      <c r="I157" s="2">
        <f t="shared" si="20"/>
        <v>0</v>
      </c>
      <c r="J157" s="2"/>
      <c r="K157" s="2">
        <f t="shared" si="21"/>
        <v>1</v>
      </c>
      <c r="L157" s="2">
        <f t="shared" si="22"/>
        <v>1</v>
      </c>
      <c r="M157" s="2">
        <f t="shared" si="23"/>
        <v>1</v>
      </c>
      <c r="O157" s="3">
        <f t="shared" si="24"/>
        <v>0.46995483969711921</v>
      </c>
      <c r="P157" s="3">
        <f t="shared" si="25"/>
        <v>0.78045604704704452</v>
      </c>
      <c r="Q157" s="3">
        <f t="shared" si="26"/>
        <v>0.36677909648064116</v>
      </c>
    </row>
    <row r="158" spans="1:17" x14ac:dyDescent="0.3">
      <c r="A158" s="1" t="s">
        <v>161</v>
      </c>
      <c r="B158">
        <v>2823.1579999999999</v>
      </c>
      <c r="C158">
        <v>3871.0010000000002</v>
      </c>
      <c r="D158">
        <v>3871.0010000000002</v>
      </c>
      <c r="E158">
        <v>3871.0010000000002</v>
      </c>
      <c r="G158" s="2">
        <f t="shared" si="18"/>
        <v>0</v>
      </c>
      <c r="H158" s="2">
        <f t="shared" si="19"/>
        <v>1</v>
      </c>
      <c r="I158" s="2">
        <f t="shared" si="20"/>
        <v>1</v>
      </c>
      <c r="J158" s="2"/>
      <c r="K158" s="2">
        <f t="shared" si="21"/>
        <v>1</v>
      </c>
      <c r="L158" s="2">
        <f t="shared" si="22"/>
        <v>0</v>
      </c>
      <c r="M158" s="2">
        <f t="shared" si="23"/>
        <v>1</v>
      </c>
      <c r="O158" s="3">
        <f t="shared" si="24"/>
        <v>0.72930955068211034</v>
      </c>
      <c r="P158" s="3">
        <f t="shared" si="25"/>
        <v>1</v>
      </c>
      <c r="Q158" s="3">
        <f t="shared" si="26"/>
        <v>0.72930955068211034</v>
      </c>
    </row>
    <row r="159" spans="1:17" x14ac:dyDescent="0.3">
      <c r="A159" s="1" t="s">
        <v>162</v>
      </c>
      <c r="B159">
        <v>1284.797</v>
      </c>
      <c r="C159">
        <v>1947.587</v>
      </c>
      <c r="D159">
        <v>2370</v>
      </c>
      <c r="E159">
        <v>2370</v>
      </c>
      <c r="G159" s="2">
        <f t="shared" si="18"/>
        <v>0</v>
      </c>
      <c r="H159" s="2">
        <f t="shared" si="19"/>
        <v>0</v>
      </c>
      <c r="I159" s="2">
        <f t="shared" si="20"/>
        <v>1</v>
      </c>
      <c r="J159" s="2"/>
      <c r="K159" s="2">
        <f t="shared" si="21"/>
        <v>1</v>
      </c>
      <c r="L159" s="2">
        <f t="shared" si="22"/>
        <v>1</v>
      </c>
      <c r="M159" s="2">
        <f t="shared" si="23"/>
        <v>1</v>
      </c>
      <c r="O159" s="3">
        <f t="shared" si="24"/>
        <v>0.65968657626077809</v>
      </c>
      <c r="P159" s="3">
        <f t="shared" si="25"/>
        <v>0.82176666666666665</v>
      </c>
      <c r="Q159" s="3">
        <f t="shared" si="26"/>
        <v>0.54210843881856541</v>
      </c>
    </row>
    <row r="160" spans="1:17" x14ac:dyDescent="0.3">
      <c r="A160" s="1" t="s">
        <v>163</v>
      </c>
      <c r="B160">
        <v>1623.059</v>
      </c>
      <c r="C160">
        <v>2304.998</v>
      </c>
      <c r="D160">
        <v>2304.998</v>
      </c>
      <c r="E160">
        <v>2304.998</v>
      </c>
      <c r="G160" s="2">
        <f t="shared" si="18"/>
        <v>0</v>
      </c>
      <c r="H160" s="2">
        <f t="shared" si="19"/>
        <v>1</v>
      </c>
      <c r="I160" s="2">
        <f t="shared" si="20"/>
        <v>1</v>
      </c>
      <c r="J160" s="2"/>
      <c r="K160" s="2">
        <f t="shared" si="21"/>
        <v>1</v>
      </c>
      <c r="L160" s="2">
        <f t="shared" si="22"/>
        <v>0</v>
      </c>
      <c r="M160" s="2">
        <f t="shared" si="23"/>
        <v>1</v>
      </c>
      <c r="O160" s="3">
        <f t="shared" si="24"/>
        <v>0.70414768255764215</v>
      </c>
      <c r="P160" s="3">
        <f t="shared" si="25"/>
        <v>1</v>
      </c>
      <c r="Q160" s="3">
        <f t="shared" si="26"/>
        <v>0.70414768255764215</v>
      </c>
    </row>
    <row r="161" spans="1:17" x14ac:dyDescent="0.3">
      <c r="A161" s="1" t="s">
        <v>164</v>
      </c>
      <c r="B161">
        <v>2378.1509999999998</v>
      </c>
      <c r="C161">
        <v>3017.6179999999999</v>
      </c>
      <c r="D161">
        <v>3879.9940000000001</v>
      </c>
      <c r="E161">
        <v>3879.9940000000001</v>
      </c>
      <c r="G161" s="2">
        <f t="shared" si="18"/>
        <v>0</v>
      </c>
      <c r="H161" s="2">
        <f t="shared" si="19"/>
        <v>0</v>
      </c>
      <c r="I161" s="2">
        <f t="shared" si="20"/>
        <v>1</v>
      </c>
      <c r="J161" s="2"/>
      <c r="K161" s="2">
        <f t="shared" si="21"/>
        <v>1</v>
      </c>
      <c r="L161" s="2">
        <f t="shared" si="22"/>
        <v>1</v>
      </c>
      <c r="M161" s="2">
        <f t="shared" si="23"/>
        <v>1</v>
      </c>
      <c r="O161" s="3">
        <f t="shared" si="24"/>
        <v>0.78808881707359912</v>
      </c>
      <c r="P161" s="3">
        <f t="shared" si="25"/>
        <v>0.77773780062546483</v>
      </c>
      <c r="Q161" s="3">
        <f t="shared" si="26"/>
        <v>0.61292646328834521</v>
      </c>
    </row>
    <row r="162" spans="1:17" x14ac:dyDescent="0.3">
      <c r="A162" s="1" t="s">
        <v>165</v>
      </c>
      <c r="B162">
        <v>1256.0150000000001</v>
      </c>
      <c r="C162">
        <v>1899.13</v>
      </c>
      <c r="D162">
        <v>2251</v>
      </c>
      <c r="E162">
        <v>2251</v>
      </c>
      <c r="G162" s="2">
        <f t="shared" si="18"/>
        <v>0</v>
      </c>
      <c r="H162" s="2">
        <f t="shared" si="19"/>
        <v>0</v>
      </c>
      <c r="I162" s="2">
        <f t="shared" si="20"/>
        <v>1</v>
      </c>
      <c r="J162" s="2"/>
      <c r="K162" s="2">
        <f t="shared" si="21"/>
        <v>1</v>
      </c>
      <c r="L162" s="2">
        <f t="shared" si="22"/>
        <v>1</v>
      </c>
      <c r="M162" s="2">
        <f t="shared" si="23"/>
        <v>1</v>
      </c>
      <c r="O162" s="3">
        <f t="shared" si="24"/>
        <v>0.66136336111798566</v>
      </c>
      <c r="P162" s="3">
        <f t="shared" si="25"/>
        <v>0.84368280764104853</v>
      </c>
      <c r="Q162" s="3">
        <f t="shared" si="26"/>
        <v>0.55798089737894274</v>
      </c>
    </row>
    <row r="163" spans="1:17" x14ac:dyDescent="0.3">
      <c r="A163" s="1" t="s">
        <v>166</v>
      </c>
      <c r="B163">
        <v>1731.729</v>
      </c>
      <c r="C163">
        <v>2434.6959999999999</v>
      </c>
      <c r="D163">
        <v>2890.9949999999999</v>
      </c>
      <c r="E163">
        <v>2890.9949999999999</v>
      </c>
      <c r="G163" s="2">
        <f t="shared" si="18"/>
        <v>0</v>
      </c>
      <c r="H163" s="2">
        <f t="shared" si="19"/>
        <v>0</v>
      </c>
      <c r="I163" s="2">
        <f t="shared" si="20"/>
        <v>1</v>
      </c>
      <c r="J163" s="2"/>
      <c r="K163" s="2">
        <f t="shared" si="21"/>
        <v>1</v>
      </c>
      <c r="L163" s="2">
        <f t="shared" si="22"/>
        <v>1</v>
      </c>
      <c r="M163" s="2">
        <f t="shared" si="23"/>
        <v>1</v>
      </c>
      <c r="O163" s="3">
        <f t="shared" si="24"/>
        <v>0.71127114021627347</v>
      </c>
      <c r="P163" s="3">
        <f t="shared" si="25"/>
        <v>0.84216541363786512</v>
      </c>
      <c r="Q163" s="3">
        <f t="shared" si="26"/>
        <v>0.59900795400891393</v>
      </c>
    </row>
    <row r="164" spans="1:17" x14ac:dyDescent="0.3">
      <c r="A164" s="1" t="s">
        <v>167</v>
      </c>
      <c r="B164">
        <v>1306.463</v>
      </c>
      <c r="C164">
        <v>1818.8230000000001</v>
      </c>
      <c r="D164">
        <v>2031.5150000000001</v>
      </c>
      <c r="E164">
        <v>2786.0010000000002</v>
      </c>
      <c r="G164" s="2">
        <f t="shared" si="18"/>
        <v>0</v>
      </c>
      <c r="H164" s="2">
        <f t="shared" si="19"/>
        <v>0</v>
      </c>
      <c r="I164" s="2">
        <f t="shared" si="20"/>
        <v>0</v>
      </c>
      <c r="J164" s="2"/>
      <c r="K164" s="2">
        <f t="shared" si="21"/>
        <v>1</v>
      </c>
      <c r="L164" s="2">
        <f t="shared" si="22"/>
        <v>1</v>
      </c>
      <c r="M164" s="2">
        <f t="shared" si="23"/>
        <v>1</v>
      </c>
      <c r="O164" s="3">
        <f t="shared" si="24"/>
        <v>0.71830134103208498</v>
      </c>
      <c r="P164" s="3">
        <f t="shared" si="25"/>
        <v>0.8953037511413896</v>
      </c>
      <c r="Q164" s="3">
        <f t="shared" si="26"/>
        <v>0.64309788507591625</v>
      </c>
    </row>
    <row r="165" spans="1:17" x14ac:dyDescent="0.3">
      <c r="A165" s="1" t="s">
        <v>168</v>
      </c>
      <c r="B165">
        <v>1290.404</v>
      </c>
      <c r="C165">
        <v>1758.433</v>
      </c>
      <c r="D165">
        <v>1976.451</v>
      </c>
      <c r="E165">
        <v>2715.9989999999998</v>
      </c>
      <c r="G165" s="2">
        <f t="shared" si="18"/>
        <v>0</v>
      </c>
      <c r="H165" s="2">
        <f t="shared" si="19"/>
        <v>0</v>
      </c>
      <c r="I165" s="2">
        <f t="shared" si="20"/>
        <v>0</v>
      </c>
      <c r="J165" s="2"/>
      <c r="K165" s="2">
        <f t="shared" si="21"/>
        <v>1</v>
      </c>
      <c r="L165" s="2">
        <f t="shared" si="22"/>
        <v>1</v>
      </c>
      <c r="M165" s="2">
        <f t="shared" si="23"/>
        <v>1</v>
      </c>
      <c r="O165" s="3">
        <f t="shared" si="24"/>
        <v>0.73383745641716236</v>
      </c>
      <c r="P165" s="3">
        <f t="shared" si="25"/>
        <v>0.88969218058024202</v>
      </c>
      <c r="Q165" s="3">
        <f t="shared" si="26"/>
        <v>0.6528894467912435</v>
      </c>
    </row>
    <row r="166" spans="1:17" x14ac:dyDescent="0.3">
      <c r="A166" s="1" t="s">
        <v>169</v>
      </c>
      <c r="B166">
        <v>1699.944</v>
      </c>
      <c r="C166">
        <v>2220.2959999999998</v>
      </c>
      <c r="D166">
        <v>3269.002</v>
      </c>
      <c r="E166">
        <v>3269.002</v>
      </c>
      <c r="G166" s="2">
        <f t="shared" si="18"/>
        <v>0</v>
      </c>
      <c r="H166" s="2">
        <f t="shared" si="19"/>
        <v>0</v>
      </c>
      <c r="I166" s="2">
        <f t="shared" si="20"/>
        <v>1</v>
      </c>
      <c r="J166" s="2"/>
      <c r="K166" s="2">
        <f t="shared" si="21"/>
        <v>1</v>
      </c>
      <c r="L166" s="2">
        <f t="shared" si="22"/>
        <v>1</v>
      </c>
      <c r="M166" s="2">
        <f t="shared" si="23"/>
        <v>1</v>
      </c>
      <c r="O166" s="3">
        <f t="shared" si="24"/>
        <v>0.76563845541315212</v>
      </c>
      <c r="P166" s="3">
        <f t="shared" si="25"/>
        <v>0.67919689250725446</v>
      </c>
      <c r="Q166" s="3">
        <f t="shared" si="26"/>
        <v>0.52001925970066709</v>
      </c>
    </row>
    <row r="167" spans="1:17" x14ac:dyDescent="0.3">
      <c r="A167" s="1" t="s">
        <v>170</v>
      </c>
      <c r="B167">
        <v>842.30499999999995</v>
      </c>
      <c r="C167">
        <v>1502.136</v>
      </c>
      <c r="D167">
        <v>1887.79</v>
      </c>
      <c r="E167">
        <v>2468.998</v>
      </c>
      <c r="G167" s="2">
        <f t="shared" si="18"/>
        <v>0</v>
      </c>
      <c r="H167" s="2">
        <f t="shared" si="19"/>
        <v>0</v>
      </c>
      <c r="I167" s="2">
        <f t="shared" si="20"/>
        <v>0</v>
      </c>
      <c r="J167" s="2"/>
      <c r="K167" s="2">
        <f t="shared" si="21"/>
        <v>1</v>
      </c>
      <c r="L167" s="2">
        <f t="shared" si="22"/>
        <v>1</v>
      </c>
      <c r="M167" s="2">
        <f t="shared" si="23"/>
        <v>1</v>
      </c>
      <c r="O167" s="3">
        <f t="shared" si="24"/>
        <v>0.56073817550474792</v>
      </c>
      <c r="P167" s="3">
        <f t="shared" si="25"/>
        <v>0.79571138738948721</v>
      </c>
      <c r="Q167" s="3">
        <f t="shared" si="26"/>
        <v>0.44618575159313267</v>
      </c>
    </row>
    <row r="168" spans="1:17" x14ac:dyDescent="0.3">
      <c r="A168" s="1" t="s">
        <v>171</v>
      </c>
      <c r="B168">
        <v>1530.403</v>
      </c>
      <c r="C168">
        <v>2290.7809999999999</v>
      </c>
      <c r="D168">
        <v>2374.9989999999998</v>
      </c>
      <c r="E168">
        <v>2374.9989999999998</v>
      </c>
      <c r="G168" s="2">
        <f t="shared" si="18"/>
        <v>0</v>
      </c>
      <c r="H168" s="2">
        <f t="shared" si="19"/>
        <v>0</v>
      </c>
      <c r="I168" s="2">
        <f t="shared" si="20"/>
        <v>1</v>
      </c>
      <c r="J168" s="2"/>
      <c r="K168" s="2">
        <f t="shared" si="21"/>
        <v>1</v>
      </c>
      <c r="L168" s="2">
        <f t="shared" si="22"/>
        <v>1</v>
      </c>
      <c r="M168" s="2">
        <f t="shared" si="23"/>
        <v>1</v>
      </c>
      <c r="O168" s="3">
        <f t="shared" si="24"/>
        <v>0.66807040917486227</v>
      </c>
      <c r="P168" s="3">
        <f t="shared" si="25"/>
        <v>0.96453977454306306</v>
      </c>
      <c r="Q168" s="3">
        <f t="shared" si="26"/>
        <v>0.64438048184441343</v>
      </c>
    </row>
    <row r="169" spans="1:17" x14ac:dyDescent="0.3">
      <c r="A169" s="1" t="s">
        <v>172</v>
      </c>
      <c r="B169">
        <v>2429.46</v>
      </c>
      <c r="C169">
        <v>2528</v>
      </c>
      <c r="D169">
        <v>2528</v>
      </c>
      <c r="E169">
        <v>2528</v>
      </c>
      <c r="G169" s="2">
        <f t="shared" si="18"/>
        <v>0</v>
      </c>
      <c r="H169" s="2">
        <f t="shared" si="19"/>
        <v>1</v>
      </c>
      <c r="I169" s="2">
        <f t="shared" si="20"/>
        <v>1</v>
      </c>
      <c r="J169" s="2"/>
      <c r="K169" s="2">
        <f t="shared" si="21"/>
        <v>1</v>
      </c>
      <c r="L169" s="2">
        <f t="shared" si="22"/>
        <v>0</v>
      </c>
      <c r="M169" s="2">
        <f t="shared" si="23"/>
        <v>1</v>
      </c>
      <c r="O169" s="3">
        <f t="shared" si="24"/>
        <v>0.96102056962025317</v>
      </c>
      <c r="P169" s="3">
        <f t="shared" si="25"/>
        <v>1</v>
      </c>
      <c r="Q169" s="3">
        <f t="shared" si="26"/>
        <v>0.96102056962025317</v>
      </c>
    </row>
    <row r="170" spans="1:17" x14ac:dyDescent="0.3">
      <c r="A170" s="1" t="s">
        <v>173</v>
      </c>
      <c r="B170">
        <v>1737.5540000000001</v>
      </c>
      <c r="C170">
        <v>2658.9989999999998</v>
      </c>
      <c r="D170">
        <v>2658.9989999999998</v>
      </c>
      <c r="E170">
        <v>2658.9989999999998</v>
      </c>
      <c r="G170" s="2">
        <f t="shared" si="18"/>
        <v>0</v>
      </c>
      <c r="H170" s="2">
        <f t="shared" si="19"/>
        <v>1</v>
      </c>
      <c r="I170" s="2">
        <f t="shared" si="20"/>
        <v>1</v>
      </c>
      <c r="J170" s="2"/>
      <c r="K170" s="2">
        <f t="shared" si="21"/>
        <v>1</v>
      </c>
      <c r="L170" s="2">
        <f t="shared" si="22"/>
        <v>0</v>
      </c>
      <c r="M170" s="2">
        <f t="shared" si="23"/>
        <v>1</v>
      </c>
      <c r="O170" s="3">
        <f t="shared" si="24"/>
        <v>0.65346169742824278</v>
      </c>
      <c r="P170" s="3">
        <f t="shared" si="25"/>
        <v>1</v>
      </c>
      <c r="Q170" s="3">
        <f t="shared" si="26"/>
        <v>0.65346169742824278</v>
      </c>
    </row>
    <row r="171" spans="1:17" x14ac:dyDescent="0.3">
      <c r="A171" s="1" t="s">
        <v>174</v>
      </c>
      <c r="B171">
        <v>2526.1129999999998</v>
      </c>
      <c r="C171">
        <v>3480.422</v>
      </c>
      <c r="D171">
        <v>4143.9970000000003</v>
      </c>
      <c r="E171">
        <v>4143.9970000000003</v>
      </c>
      <c r="G171" s="2">
        <f t="shared" si="18"/>
        <v>0</v>
      </c>
      <c r="H171" s="2">
        <f t="shared" si="19"/>
        <v>0</v>
      </c>
      <c r="I171" s="2">
        <f t="shared" si="20"/>
        <v>1</v>
      </c>
      <c r="J171" s="2"/>
      <c r="K171" s="2">
        <f t="shared" si="21"/>
        <v>1</v>
      </c>
      <c r="L171" s="2">
        <f t="shared" si="22"/>
        <v>1</v>
      </c>
      <c r="M171" s="2">
        <f t="shared" si="23"/>
        <v>1</v>
      </c>
      <c r="O171" s="3">
        <f t="shared" si="24"/>
        <v>0.72580652576038185</v>
      </c>
      <c r="P171" s="3">
        <f t="shared" si="25"/>
        <v>0.83987078175973573</v>
      </c>
      <c r="Q171" s="3">
        <f t="shared" si="26"/>
        <v>0.60958369419668967</v>
      </c>
    </row>
    <row r="172" spans="1:17" x14ac:dyDescent="0.3">
      <c r="A172" s="1" t="s">
        <v>175</v>
      </c>
      <c r="B172">
        <v>1236.1959999999999</v>
      </c>
      <c r="C172">
        <v>1582.5309999999999</v>
      </c>
      <c r="D172">
        <v>2018</v>
      </c>
      <c r="E172">
        <v>2018</v>
      </c>
      <c r="G172" s="2">
        <f t="shared" si="18"/>
        <v>0</v>
      </c>
      <c r="H172" s="2">
        <f t="shared" si="19"/>
        <v>0</v>
      </c>
      <c r="I172" s="2">
        <f t="shared" si="20"/>
        <v>1</v>
      </c>
      <c r="J172" s="2"/>
      <c r="K172" s="2">
        <f t="shared" si="21"/>
        <v>1</v>
      </c>
      <c r="L172" s="2">
        <f t="shared" si="22"/>
        <v>1</v>
      </c>
      <c r="M172" s="2">
        <f t="shared" si="23"/>
        <v>1</v>
      </c>
      <c r="O172" s="3">
        <f t="shared" si="24"/>
        <v>0.7811512065166496</v>
      </c>
      <c r="P172" s="3">
        <f t="shared" si="25"/>
        <v>0.78420763131813676</v>
      </c>
      <c r="Q172" s="3">
        <f t="shared" si="26"/>
        <v>0.61258473736372643</v>
      </c>
    </row>
    <row r="173" spans="1:17" x14ac:dyDescent="0.3">
      <c r="A173" s="1" t="s">
        <v>176</v>
      </c>
      <c r="B173">
        <v>1370.8489999999999</v>
      </c>
      <c r="C173">
        <v>2001.057</v>
      </c>
      <c r="D173">
        <v>2978.7719999999999</v>
      </c>
      <c r="E173">
        <v>3300</v>
      </c>
      <c r="G173" s="2">
        <f t="shared" si="18"/>
        <v>0</v>
      </c>
      <c r="H173" s="2">
        <f t="shared" si="19"/>
        <v>0</v>
      </c>
      <c r="I173" s="2">
        <f t="shared" si="20"/>
        <v>0</v>
      </c>
      <c r="J173" s="2"/>
      <c r="K173" s="2">
        <f t="shared" si="21"/>
        <v>1</v>
      </c>
      <c r="L173" s="2">
        <f t="shared" si="22"/>
        <v>1</v>
      </c>
      <c r="M173" s="2">
        <f t="shared" si="23"/>
        <v>1</v>
      </c>
      <c r="O173" s="3">
        <f t="shared" si="24"/>
        <v>0.68506244449808273</v>
      </c>
      <c r="P173" s="3">
        <f t="shared" si="25"/>
        <v>0.6717724619406924</v>
      </c>
      <c r="Q173" s="3">
        <f t="shared" si="26"/>
        <v>0.46020608492358595</v>
      </c>
    </row>
    <row r="174" spans="1:17" x14ac:dyDescent="0.3">
      <c r="A174" s="1" t="s">
        <v>177</v>
      </c>
      <c r="B174">
        <v>2840.0010000000002</v>
      </c>
      <c r="C174">
        <v>2840.0010000000002</v>
      </c>
      <c r="D174">
        <v>2840.0010000000002</v>
      </c>
      <c r="E174">
        <v>2840.0010000000002</v>
      </c>
      <c r="G174" s="2">
        <f t="shared" si="18"/>
        <v>1</v>
      </c>
      <c r="H174" s="2">
        <f t="shared" si="19"/>
        <v>1</v>
      </c>
      <c r="I174" s="2">
        <f t="shared" si="20"/>
        <v>1</v>
      </c>
      <c r="J174" s="2"/>
      <c r="K174" s="2">
        <f t="shared" si="21"/>
        <v>0</v>
      </c>
      <c r="L174" s="2">
        <f t="shared" si="22"/>
        <v>0</v>
      </c>
      <c r="M174" s="2">
        <f t="shared" si="23"/>
        <v>0</v>
      </c>
      <c r="O174" s="3">
        <f t="shared" si="24"/>
        <v>1</v>
      </c>
      <c r="P174" s="3">
        <f t="shared" si="25"/>
        <v>1</v>
      </c>
      <c r="Q174" s="3">
        <f t="shared" si="26"/>
        <v>1</v>
      </c>
    </row>
    <row r="175" spans="1:17" x14ac:dyDescent="0.3">
      <c r="A175" s="1" t="s">
        <v>178</v>
      </c>
      <c r="B175">
        <v>1782.373</v>
      </c>
      <c r="C175">
        <v>2638.9989999999998</v>
      </c>
      <c r="D175">
        <v>2638.9989999999998</v>
      </c>
      <c r="E175">
        <v>2638.9989999999998</v>
      </c>
      <c r="G175" s="2">
        <f t="shared" si="18"/>
        <v>0</v>
      </c>
      <c r="H175" s="2">
        <f t="shared" si="19"/>
        <v>1</v>
      </c>
      <c r="I175" s="2">
        <f t="shared" si="20"/>
        <v>1</v>
      </c>
      <c r="J175" s="2"/>
      <c r="K175" s="2">
        <f t="shared" si="21"/>
        <v>1</v>
      </c>
      <c r="L175" s="2">
        <f t="shared" si="22"/>
        <v>0</v>
      </c>
      <c r="M175" s="2">
        <f t="shared" si="23"/>
        <v>1</v>
      </c>
      <c r="O175" s="3">
        <f t="shared" si="24"/>
        <v>0.6753973760505404</v>
      </c>
      <c r="P175" s="3">
        <f t="shared" si="25"/>
        <v>1</v>
      </c>
      <c r="Q175" s="3">
        <f t="shared" si="26"/>
        <v>0.6753973760505404</v>
      </c>
    </row>
    <row r="176" spans="1:17" x14ac:dyDescent="0.3">
      <c r="A176" s="1" t="s">
        <v>179</v>
      </c>
      <c r="B176">
        <v>980.88599999999997</v>
      </c>
      <c r="C176">
        <v>1482.2070000000001</v>
      </c>
      <c r="D176">
        <v>2120.7649999999999</v>
      </c>
      <c r="E176">
        <v>2428</v>
      </c>
      <c r="G176" s="2">
        <f t="shared" si="18"/>
        <v>0</v>
      </c>
      <c r="H176" s="2">
        <f t="shared" si="19"/>
        <v>0</v>
      </c>
      <c r="I176" s="2">
        <f t="shared" si="20"/>
        <v>0</v>
      </c>
      <c r="J176" s="2"/>
      <c r="K176" s="2">
        <f t="shared" si="21"/>
        <v>1</v>
      </c>
      <c r="L176" s="2">
        <f t="shared" si="22"/>
        <v>1</v>
      </c>
      <c r="M176" s="2">
        <f t="shared" si="23"/>
        <v>1</v>
      </c>
      <c r="O176" s="3">
        <f t="shared" si="24"/>
        <v>0.66177396274609412</v>
      </c>
      <c r="P176" s="3">
        <f t="shared" si="25"/>
        <v>0.69890204713865056</v>
      </c>
      <c r="Q176" s="3">
        <f t="shared" si="26"/>
        <v>0.46251517730630221</v>
      </c>
    </row>
    <row r="177" spans="1:17" x14ac:dyDescent="0.3">
      <c r="A177" s="1" t="s">
        <v>180</v>
      </c>
      <c r="B177">
        <v>1192.9359999999999</v>
      </c>
      <c r="C177">
        <v>1928.2850000000001</v>
      </c>
      <c r="D177">
        <v>2084.9949999999999</v>
      </c>
      <c r="E177">
        <v>2084.9949999999999</v>
      </c>
      <c r="G177" s="2">
        <f t="shared" si="18"/>
        <v>0</v>
      </c>
      <c r="H177" s="2">
        <f t="shared" si="19"/>
        <v>0</v>
      </c>
      <c r="I177" s="2">
        <f t="shared" si="20"/>
        <v>1</v>
      </c>
      <c r="J177" s="2"/>
      <c r="K177" s="2">
        <f t="shared" si="21"/>
        <v>1</v>
      </c>
      <c r="L177" s="2">
        <f t="shared" si="22"/>
        <v>1</v>
      </c>
      <c r="M177" s="2">
        <f t="shared" si="23"/>
        <v>1</v>
      </c>
      <c r="O177" s="3">
        <f t="shared" si="24"/>
        <v>0.61865128858026686</v>
      </c>
      <c r="P177" s="3">
        <f t="shared" si="25"/>
        <v>0.92483914829531977</v>
      </c>
      <c r="Q177" s="3">
        <f t="shared" si="26"/>
        <v>0.57215293082237606</v>
      </c>
    </row>
    <row r="178" spans="1:17" x14ac:dyDescent="0.3">
      <c r="A178" s="1" t="s">
        <v>181</v>
      </c>
      <c r="B178">
        <v>1170.992</v>
      </c>
      <c r="C178">
        <v>1869.5730000000001</v>
      </c>
      <c r="D178">
        <v>2193.002</v>
      </c>
      <c r="E178">
        <v>2193.002</v>
      </c>
      <c r="G178" s="2">
        <f t="shared" si="18"/>
        <v>0</v>
      </c>
      <c r="H178" s="2">
        <f t="shared" si="19"/>
        <v>0</v>
      </c>
      <c r="I178" s="2">
        <f t="shared" si="20"/>
        <v>1</v>
      </c>
      <c r="J178" s="2"/>
      <c r="K178" s="2">
        <f t="shared" si="21"/>
        <v>1</v>
      </c>
      <c r="L178" s="2">
        <f t="shared" si="22"/>
        <v>1</v>
      </c>
      <c r="M178" s="2">
        <f t="shared" si="23"/>
        <v>1</v>
      </c>
      <c r="O178" s="3">
        <f t="shared" si="24"/>
        <v>0.62634195080908839</v>
      </c>
      <c r="P178" s="3">
        <f t="shared" si="25"/>
        <v>0.85251769036234359</v>
      </c>
      <c r="Q178" s="3">
        <f t="shared" si="26"/>
        <v>0.53396759328080867</v>
      </c>
    </row>
    <row r="179" spans="1:17" x14ac:dyDescent="0.3">
      <c r="A179" s="1" t="s">
        <v>182</v>
      </c>
      <c r="B179">
        <v>2505.2280000000001</v>
      </c>
      <c r="C179">
        <v>3571.9949999999999</v>
      </c>
      <c r="D179">
        <v>3571.9949999999999</v>
      </c>
      <c r="E179">
        <v>3571.9949999999999</v>
      </c>
      <c r="G179" s="2">
        <f t="shared" si="18"/>
        <v>0</v>
      </c>
      <c r="H179" s="2">
        <f t="shared" si="19"/>
        <v>1</v>
      </c>
      <c r="I179" s="2">
        <f t="shared" si="20"/>
        <v>1</v>
      </c>
      <c r="J179" s="2"/>
      <c r="K179" s="2">
        <f t="shared" si="21"/>
        <v>1</v>
      </c>
      <c r="L179" s="2">
        <f t="shared" si="22"/>
        <v>0</v>
      </c>
      <c r="M179" s="2">
        <f t="shared" si="23"/>
        <v>1</v>
      </c>
      <c r="O179" s="3">
        <f t="shared" si="24"/>
        <v>0.70135260547677147</v>
      </c>
      <c r="P179" s="3">
        <f t="shared" si="25"/>
        <v>1</v>
      </c>
      <c r="Q179" s="3">
        <f t="shared" si="26"/>
        <v>0.70135260547677147</v>
      </c>
    </row>
    <row r="180" spans="1:17" x14ac:dyDescent="0.3">
      <c r="A180" s="1" t="s">
        <v>183</v>
      </c>
      <c r="B180">
        <v>2581.7800000000002</v>
      </c>
      <c r="C180">
        <v>3127</v>
      </c>
      <c r="D180">
        <v>3127</v>
      </c>
      <c r="E180">
        <v>3127</v>
      </c>
      <c r="G180" s="2">
        <f t="shared" si="18"/>
        <v>0</v>
      </c>
      <c r="H180" s="2">
        <f t="shared" si="19"/>
        <v>1</v>
      </c>
      <c r="I180" s="2">
        <f t="shared" si="20"/>
        <v>1</v>
      </c>
      <c r="J180" s="2"/>
      <c r="K180" s="2">
        <f t="shared" si="21"/>
        <v>1</v>
      </c>
      <c r="L180" s="2">
        <f t="shared" si="22"/>
        <v>0</v>
      </c>
      <c r="M180" s="2">
        <f t="shared" si="23"/>
        <v>1</v>
      </c>
      <c r="O180" s="3">
        <f t="shared" si="24"/>
        <v>0.82564118963863131</v>
      </c>
      <c r="P180" s="3">
        <f t="shared" si="25"/>
        <v>1</v>
      </c>
      <c r="Q180" s="3">
        <f t="shared" si="26"/>
        <v>0.82564118963863131</v>
      </c>
    </row>
    <row r="181" spans="1:17" x14ac:dyDescent="0.3">
      <c r="A181" s="1" t="s">
        <v>184</v>
      </c>
      <c r="B181">
        <v>2071.297</v>
      </c>
      <c r="C181">
        <v>2091.9989999999998</v>
      </c>
      <c r="D181">
        <v>2091.9989999999998</v>
      </c>
      <c r="E181">
        <v>2091.9989999999998</v>
      </c>
      <c r="G181" s="2">
        <f t="shared" si="18"/>
        <v>0</v>
      </c>
      <c r="H181" s="2">
        <f t="shared" si="19"/>
        <v>1</v>
      </c>
      <c r="I181" s="2">
        <f t="shared" si="20"/>
        <v>1</v>
      </c>
      <c r="J181" s="2"/>
      <c r="K181" s="2">
        <f t="shared" si="21"/>
        <v>1</v>
      </c>
      <c r="L181" s="2">
        <f t="shared" si="22"/>
        <v>0</v>
      </c>
      <c r="M181" s="2">
        <f t="shared" si="23"/>
        <v>1</v>
      </c>
      <c r="O181" s="3">
        <f t="shared" si="24"/>
        <v>0.99010420177065106</v>
      </c>
      <c r="P181" s="3">
        <f t="shared" si="25"/>
        <v>1</v>
      </c>
      <c r="Q181" s="3">
        <f t="shared" si="26"/>
        <v>0.99010420177065106</v>
      </c>
    </row>
    <row r="182" spans="1:17" x14ac:dyDescent="0.3">
      <c r="A182" s="1" t="s">
        <v>185</v>
      </c>
      <c r="B182">
        <v>1707.971</v>
      </c>
      <c r="C182">
        <v>2531.8670000000002</v>
      </c>
      <c r="D182">
        <v>2800.9969999999998</v>
      </c>
      <c r="E182">
        <v>2800.9969999999998</v>
      </c>
      <c r="G182" s="2">
        <f t="shared" si="18"/>
        <v>0</v>
      </c>
      <c r="H182" s="2">
        <f t="shared" si="19"/>
        <v>0</v>
      </c>
      <c r="I182" s="2">
        <f t="shared" si="20"/>
        <v>1</v>
      </c>
      <c r="J182" s="2"/>
      <c r="K182" s="2">
        <f t="shared" si="21"/>
        <v>1</v>
      </c>
      <c r="L182" s="2">
        <f t="shared" si="22"/>
        <v>1</v>
      </c>
      <c r="M182" s="2">
        <f t="shared" si="23"/>
        <v>1</v>
      </c>
      <c r="O182" s="3">
        <f t="shared" si="24"/>
        <v>0.67458954202570665</v>
      </c>
      <c r="P182" s="3">
        <f t="shared" si="25"/>
        <v>0.90391635549770322</v>
      </c>
      <c r="Q182" s="3">
        <f t="shared" si="26"/>
        <v>0.60977252028474149</v>
      </c>
    </row>
    <row r="183" spans="1:17" x14ac:dyDescent="0.3">
      <c r="A183" s="1" t="s">
        <v>186</v>
      </c>
      <c r="B183">
        <v>1741.1420000000001</v>
      </c>
      <c r="C183">
        <v>2265.0239999999999</v>
      </c>
      <c r="D183">
        <v>3006.9859999999999</v>
      </c>
      <c r="E183">
        <v>3006.9859999999999</v>
      </c>
      <c r="G183" s="2">
        <f t="shared" si="18"/>
        <v>0</v>
      </c>
      <c r="H183" s="2">
        <f t="shared" si="19"/>
        <v>0</v>
      </c>
      <c r="I183" s="2">
        <f t="shared" si="20"/>
        <v>1</v>
      </c>
      <c r="J183" s="2"/>
      <c r="K183" s="2">
        <f t="shared" si="21"/>
        <v>1</v>
      </c>
      <c r="L183" s="2">
        <f t="shared" si="22"/>
        <v>1</v>
      </c>
      <c r="M183" s="2">
        <f t="shared" si="23"/>
        <v>1</v>
      </c>
      <c r="O183" s="3">
        <f t="shared" si="24"/>
        <v>0.76870796954027865</v>
      </c>
      <c r="P183" s="3">
        <f t="shared" si="25"/>
        <v>0.75325392269867564</v>
      </c>
      <c r="Q183" s="3">
        <f t="shared" si="26"/>
        <v>0.57903229346594898</v>
      </c>
    </row>
    <row r="184" spans="1:17" x14ac:dyDescent="0.3">
      <c r="A184" s="1" t="s">
        <v>187</v>
      </c>
      <c r="B184">
        <v>2054.5030000000002</v>
      </c>
      <c r="C184">
        <v>2721.998</v>
      </c>
      <c r="D184">
        <v>2721.998</v>
      </c>
      <c r="E184">
        <v>2721.998</v>
      </c>
      <c r="G184" s="2">
        <f t="shared" si="18"/>
        <v>0</v>
      </c>
      <c r="H184" s="2">
        <f t="shared" si="19"/>
        <v>1</v>
      </c>
      <c r="I184" s="2">
        <f t="shared" si="20"/>
        <v>1</v>
      </c>
      <c r="J184" s="2"/>
      <c r="K184" s="2">
        <f t="shared" si="21"/>
        <v>1</v>
      </c>
      <c r="L184" s="2">
        <f t="shared" si="22"/>
        <v>0</v>
      </c>
      <c r="M184" s="2">
        <f t="shared" si="23"/>
        <v>1</v>
      </c>
      <c r="O184" s="3">
        <f t="shared" si="24"/>
        <v>0.75477755677998304</v>
      </c>
      <c r="P184" s="3">
        <f t="shared" si="25"/>
        <v>1</v>
      </c>
      <c r="Q184" s="3">
        <f t="shared" si="26"/>
        <v>0.75477755677998304</v>
      </c>
    </row>
    <row r="185" spans="1:17" x14ac:dyDescent="0.3">
      <c r="A185" s="1" t="s">
        <v>188</v>
      </c>
      <c r="B185">
        <v>2799.3870000000002</v>
      </c>
      <c r="C185">
        <v>2900.9960000000001</v>
      </c>
      <c r="D185">
        <v>2900.9960000000001</v>
      </c>
      <c r="E185">
        <v>2900.9960000000001</v>
      </c>
      <c r="G185" s="2">
        <f t="shared" si="18"/>
        <v>0</v>
      </c>
      <c r="H185" s="2">
        <f t="shared" si="19"/>
        <v>1</v>
      </c>
      <c r="I185" s="2">
        <f t="shared" si="20"/>
        <v>1</v>
      </c>
      <c r="J185" s="2"/>
      <c r="K185" s="2">
        <f t="shared" si="21"/>
        <v>1</v>
      </c>
      <c r="L185" s="2">
        <f t="shared" si="22"/>
        <v>0</v>
      </c>
      <c r="M185" s="2">
        <f t="shared" si="23"/>
        <v>1</v>
      </c>
      <c r="O185" s="3">
        <f t="shared" si="24"/>
        <v>0.9649744432601769</v>
      </c>
      <c r="P185" s="3">
        <f t="shared" si="25"/>
        <v>1</v>
      </c>
      <c r="Q185" s="3">
        <f t="shared" si="26"/>
        <v>0.9649744432601769</v>
      </c>
    </row>
    <row r="186" spans="1:17" x14ac:dyDescent="0.3">
      <c r="A186" s="1" t="s">
        <v>189</v>
      </c>
      <c r="B186">
        <v>2240.181</v>
      </c>
      <c r="C186">
        <v>3794.0059999999999</v>
      </c>
      <c r="D186">
        <v>3794.0059999999999</v>
      </c>
      <c r="E186">
        <v>3794.0059999999999</v>
      </c>
      <c r="G186" s="2">
        <f t="shared" si="18"/>
        <v>0</v>
      </c>
      <c r="H186" s="2">
        <f t="shared" si="19"/>
        <v>1</v>
      </c>
      <c r="I186" s="2">
        <f t="shared" si="20"/>
        <v>1</v>
      </c>
      <c r="J186" s="2"/>
      <c r="K186" s="2">
        <f t="shared" si="21"/>
        <v>1</v>
      </c>
      <c r="L186" s="2">
        <f t="shared" si="22"/>
        <v>0</v>
      </c>
      <c r="M186" s="2">
        <f t="shared" si="23"/>
        <v>1</v>
      </c>
      <c r="O186" s="3">
        <f t="shared" si="24"/>
        <v>0.59045267719660965</v>
      </c>
      <c r="P186" s="3">
        <f t="shared" si="25"/>
        <v>1</v>
      </c>
      <c r="Q186" s="3">
        <f t="shared" si="26"/>
        <v>0.59045267719660965</v>
      </c>
    </row>
    <row r="187" spans="1:17" x14ac:dyDescent="0.3">
      <c r="A187" s="1" t="s">
        <v>190</v>
      </c>
      <c r="B187">
        <v>1789.0940000000001</v>
      </c>
      <c r="C187">
        <v>2467.453</v>
      </c>
      <c r="D187">
        <v>2678.998</v>
      </c>
      <c r="E187">
        <v>2678.998</v>
      </c>
      <c r="G187" s="2">
        <f t="shared" si="18"/>
        <v>0</v>
      </c>
      <c r="H187" s="2">
        <f t="shared" si="19"/>
        <v>0</v>
      </c>
      <c r="I187" s="2">
        <f t="shared" si="20"/>
        <v>1</v>
      </c>
      <c r="J187" s="2"/>
      <c r="K187" s="2">
        <f t="shared" si="21"/>
        <v>1</v>
      </c>
      <c r="L187" s="2">
        <f t="shared" si="22"/>
        <v>1</v>
      </c>
      <c r="M187" s="2">
        <f t="shared" si="23"/>
        <v>1</v>
      </c>
      <c r="O187" s="3">
        <f t="shared" si="24"/>
        <v>0.72507723551370584</v>
      </c>
      <c r="P187" s="3">
        <f t="shared" si="25"/>
        <v>0.92103577531599501</v>
      </c>
      <c r="Q187" s="3">
        <f t="shared" si="26"/>
        <v>0.66782207377534442</v>
      </c>
    </row>
    <row r="188" spans="1:17" x14ac:dyDescent="0.3">
      <c r="A188" s="1" t="s">
        <v>191</v>
      </c>
      <c r="B188">
        <v>3059.73</v>
      </c>
      <c r="C188">
        <v>4249</v>
      </c>
      <c r="D188">
        <v>4249</v>
      </c>
      <c r="E188">
        <v>4249</v>
      </c>
      <c r="G188" s="2">
        <f t="shared" si="18"/>
        <v>0</v>
      </c>
      <c r="H188" s="2">
        <f t="shared" si="19"/>
        <v>1</v>
      </c>
      <c r="I188" s="2">
        <f t="shared" si="20"/>
        <v>1</v>
      </c>
      <c r="J188" s="2"/>
      <c r="K188" s="2">
        <f t="shared" si="21"/>
        <v>1</v>
      </c>
      <c r="L188" s="2">
        <f t="shared" si="22"/>
        <v>0</v>
      </c>
      <c r="M188" s="2">
        <f t="shared" si="23"/>
        <v>1</v>
      </c>
      <c r="O188" s="3">
        <f t="shared" si="24"/>
        <v>0.72010590727229939</v>
      </c>
      <c r="P188" s="3">
        <f t="shared" si="25"/>
        <v>1</v>
      </c>
      <c r="Q188" s="3">
        <f t="shared" si="26"/>
        <v>0.72010590727229939</v>
      </c>
    </row>
    <row r="189" spans="1:17" x14ac:dyDescent="0.3">
      <c r="A189" s="1" t="s">
        <v>192</v>
      </c>
      <c r="B189">
        <v>3897.4940000000001</v>
      </c>
      <c r="C189">
        <v>4623.0020000000004</v>
      </c>
      <c r="D189">
        <v>4623.0020000000004</v>
      </c>
      <c r="E189">
        <v>4623.0020000000004</v>
      </c>
      <c r="G189" s="2">
        <f t="shared" si="18"/>
        <v>0</v>
      </c>
      <c r="H189" s="2">
        <f t="shared" si="19"/>
        <v>1</v>
      </c>
      <c r="I189" s="2">
        <f t="shared" si="20"/>
        <v>1</v>
      </c>
      <c r="J189" s="2"/>
      <c r="K189" s="2">
        <f t="shared" si="21"/>
        <v>1</v>
      </c>
      <c r="L189" s="2">
        <f t="shared" si="22"/>
        <v>0</v>
      </c>
      <c r="M189" s="2">
        <f t="shared" si="23"/>
        <v>1</v>
      </c>
      <c r="O189" s="3">
        <f t="shared" si="24"/>
        <v>0.84306560974881684</v>
      </c>
      <c r="P189" s="3">
        <f t="shared" si="25"/>
        <v>1</v>
      </c>
      <c r="Q189" s="3">
        <f t="shared" si="26"/>
        <v>0.84306560974881684</v>
      </c>
    </row>
    <row r="190" spans="1:17" x14ac:dyDescent="0.3">
      <c r="A190" s="1" t="s">
        <v>193</v>
      </c>
      <c r="B190">
        <v>1933.454</v>
      </c>
      <c r="C190">
        <v>2687.7429999999999</v>
      </c>
      <c r="D190">
        <v>3067.3090000000002</v>
      </c>
      <c r="E190">
        <v>3827</v>
      </c>
      <c r="G190" s="2">
        <f t="shared" si="18"/>
        <v>0</v>
      </c>
      <c r="H190" s="2">
        <f t="shared" si="19"/>
        <v>0</v>
      </c>
      <c r="I190" s="2">
        <f t="shared" si="20"/>
        <v>0</v>
      </c>
      <c r="J190" s="2"/>
      <c r="K190" s="2">
        <f t="shared" si="21"/>
        <v>1</v>
      </c>
      <c r="L190" s="2">
        <f t="shared" si="22"/>
        <v>1</v>
      </c>
      <c r="M190" s="2">
        <f t="shared" si="23"/>
        <v>1</v>
      </c>
      <c r="O190" s="3">
        <f t="shared" si="24"/>
        <v>0.71935970068566824</v>
      </c>
      <c r="P190" s="3">
        <f t="shared" si="25"/>
        <v>0.87625439758433199</v>
      </c>
      <c r="Q190" s="3">
        <f t="shared" si="26"/>
        <v>0.63034210117076561</v>
      </c>
    </row>
    <row r="191" spans="1:17" x14ac:dyDescent="0.3">
      <c r="A191" s="1" t="s">
        <v>194</v>
      </c>
      <c r="B191">
        <v>747.41600000000005</v>
      </c>
      <c r="C191">
        <v>1263.931</v>
      </c>
      <c r="D191">
        <v>1684.771</v>
      </c>
      <c r="E191">
        <v>1985.9970000000001</v>
      </c>
      <c r="G191" s="2">
        <f t="shared" si="18"/>
        <v>0</v>
      </c>
      <c r="H191" s="2">
        <f t="shared" si="19"/>
        <v>0</v>
      </c>
      <c r="I191" s="2">
        <f t="shared" si="20"/>
        <v>0</v>
      </c>
      <c r="J191" s="2"/>
      <c r="K191" s="2">
        <f t="shared" si="21"/>
        <v>1</v>
      </c>
      <c r="L191" s="2">
        <f t="shared" si="22"/>
        <v>1</v>
      </c>
      <c r="M191" s="2">
        <f t="shared" si="23"/>
        <v>1</v>
      </c>
      <c r="O191" s="3">
        <f t="shared" si="24"/>
        <v>0.59134240714089614</v>
      </c>
      <c r="P191" s="3">
        <f t="shared" si="25"/>
        <v>0.75020937563621415</v>
      </c>
      <c r="Q191" s="3">
        <f t="shared" si="26"/>
        <v>0.4436306180483876</v>
      </c>
    </row>
    <row r="192" spans="1:17" x14ac:dyDescent="0.3">
      <c r="A192" s="1" t="s">
        <v>195</v>
      </c>
      <c r="B192">
        <v>1440.954</v>
      </c>
      <c r="C192">
        <v>1881.89</v>
      </c>
      <c r="D192">
        <v>2072</v>
      </c>
      <c r="E192">
        <v>2072</v>
      </c>
      <c r="G192" s="2">
        <f t="shared" si="18"/>
        <v>0</v>
      </c>
      <c r="H192" s="2">
        <f t="shared" si="19"/>
        <v>0</v>
      </c>
      <c r="I192" s="2">
        <f t="shared" si="20"/>
        <v>1</v>
      </c>
      <c r="J192" s="2"/>
      <c r="K192" s="2">
        <f t="shared" si="21"/>
        <v>1</v>
      </c>
      <c r="L192" s="2">
        <f t="shared" si="22"/>
        <v>1</v>
      </c>
      <c r="M192" s="2">
        <f t="shared" si="23"/>
        <v>1</v>
      </c>
      <c r="O192" s="3">
        <f t="shared" si="24"/>
        <v>0.76569512564496323</v>
      </c>
      <c r="P192" s="3">
        <f t="shared" si="25"/>
        <v>0.90824806949806958</v>
      </c>
      <c r="Q192" s="3">
        <f t="shared" si="26"/>
        <v>0.69544111969111966</v>
      </c>
    </row>
    <row r="193" spans="1:17" x14ac:dyDescent="0.3">
      <c r="A193" s="1" t="s">
        <v>196</v>
      </c>
      <c r="B193">
        <v>1750.953</v>
      </c>
      <c r="C193">
        <v>2195</v>
      </c>
      <c r="D193">
        <v>2195</v>
      </c>
      <c r="E193">
        <v>2195</v>
      </c>
      <c r="G193" s="2">
        <f t="shared" si="18"/>
        <v>0</v>
      </c>
      <c r="H193" s="2">
        <f t="shared" si="19"/>
        <v>1</v>
      </c>
      <c r="I193" s="2">
        <f t="shared" si="20"/>
        <v>1</v>
      </c>
      <c r="J193" s="2"/>
      <c r="K193" s="2">
        <f t="shared" si="21"/>
        <v>1</v>
      </c>
      <c r="L193" s="2">
        <f t="shared" si="22"/>
        <v>0</v>
      </c>
      <c r="M193" s="2">
        <f t="shared" si="23"/>
        <v>1</v>
      </c>
      <c r="O193" s="3">
        <f t="shared" si="24"/>
        <v>0.7977006833712984</v>
      </c>
      <c r="P193" s="3">
        <f t="shared" si="25"/>
        <v>1</v>
      </c>
      <c r="Q193" s="3">
        <f t="shared" si="26"/>
        <v>0.7977006833712984</v>
      </c>
    </row>
    <row r="194" spans="1:17" x14ac:dyDescent="0.3">
      <c r="A194" s="1" t="s">
        <v>197</v>
      </c>
      <c r="B194">
        <v>2080.9609999999998</v>
      </c>
      <c r="C194">
        <v>2488.9209999999998</v>
      </c>
      <c r="D194">
        <v>2812.0030000000002</v>
      </c>
      <c r="E194">
        <v>2812.0030000000002</v>
      </c>
      <c r="G194" s="2">
        <f t="shared" ref="G194:G257" si="27">IF(B194=E194, 1, 0)</f>
        <v>0</v>
      </c>
      <c r="H194" s="2">
        <f t="shared" ref="H194:H257" si="28">IF(C194=E194, 1, 0)</f>
        <v>0</v>
      </c>
      <c r="I194" s="2">
        <f t="shared" ref="I194:I257" si="29">IF(D194=E194, 1, 0)</f>
        <v>1</v>
      </c>
      <c r="J194" s="2"/>
      <c r="K194" s="2">
        <f t="shared" ref="K194:K257" si="30">IF(B194&lt;C194, 1, 0)</f>
        <v>1</v>
      </c>
      <c r="L194" s="2">
        <f t="shared" ref="L194:L257" si="31">IF(C194&lt;D194, 1, 0)</f>
        <v>1</v>
      </c>
      <c r="M194" s="2">
        <f t="shared" ref="M194:M257" si="32">IF(B194&lt;D194, 1, 0)</f>
        <v>1</v>
      </c>
      <c r="O194" s="3">
        <f t="shared" si="24"/>
        <v>0.83608961473666699</v>
      </c>
      <c r="P194" s="3">
        <f t="shared" si="25"/>
        <v>0.88510609697073572</v>
      </c>
      <c r="Q194" s="3">
        <f t="shared" si="26"/>
        <v>0.74002801561733744</v>
      </c>
    </row>
    <row r="195" spans="1:17" x14ac:dyDescent="0.3">
      <c r="A195" s="1" t="s">
        <v>198</v>
      </c>
      <c r="B195">
        <v>2174.9929999999999</v>
      </c>
      <c r="C195">
        <v>2991.3290000000002</v>
      </c>
      <c r="D195">
        <v>3981.998</v>
      </c>
      <c r="E195">
        <v>3981.998</v>
      </c>
      <c r="G195" s="2">
        <f t="shared" si="27"/>
        <v>0</v>
      </c>
      <c r="H195" s="2">
        <f t="shared" si="28"/>
        <v>0</v>
      </c>
      <c r="I195" s="2">
        <f t="shared" si="29"/>
        <v>1</v>
      </c>
      <c r="J195" s="2"/>
      <c r="K195" s="2">
        <f t="shared" si="30"/>
        <v>1</v>
      </c>
      <c r="L195" s="2">
        <f t="shared" si="31"/>
        <v>1</v>
      </c>
      <c r="M195" s="2">
        <f t="shared" si="32"/>
        <v>1</v>
      </c>
      <c r="O195" s="3">
        <f t="shared" ref="O195:O258" si="33">IF(B195&lt;C195, B195/C195, 1)</f>
        <v>0.72709922579562458</v>
      </c>
      <c r="P195" s="3">
        <f t="shared" ref="P195:P258" si="34">IF(C195&lt;D195, C195/D195, 1)</f>
        <v>0.75121308448673263</v>
      </c>
      <c r="Q195" s="3">
        <f t="shared" ref="Q195:Q258" si="35">IF(B195&lt;D195, B195/D195, 1)</f>
        <v>0.54620645213784635</v>
      </c>
    </row>
    <row r="196" spans="1:17" x14ac:dyDescent="0.3">
      <c r="A196" s="1" t="s">
        <v>199</v>
      </c>
      <c r="B196">
        <v>2477.7449999999999</v>
      </c>
      <c r="C196">
        <v>3351.9949999999999</v>
      </c>
      <c r="D196">
        <v>3351.9949999999999</v>
      </c>
      <c r="E196">
        <v>3351.9949999999999</v>
      </c>
      <c r="G196" s="2">
        <f t="shared" si="27"/>
        <v>0</v>
      </c>
      <c r="H196" s="2">
        <f t="shared" si="28"/>
        <v>1</v>
      </c>
      <c r="I196" s="2">
        <f t="shared" si="29"/>
        <v>1</v>
      </c>
      <c r="J196" s="2"/>
      <c r="K196" s="2">
        <f t="shared" si="30"/>
        <v>1</v>
      </c>
      <c r="L196" s="2">
        <f t="shared" si="31"/>
        <v>0</v>
      </c>
      <c r="M196" s="2">
        <f t="shared" si="32"/>
        <v>1</v>
      </c>
      <c r="O196" s="3">
        <f t="shared" si="33"/>
        <v>0.7391851718155904</v>
      </c>
      <c r="P196" s="3">
        <f t="shared" si="34"/>
        <v>1</v>
      </c>
      <c r="Q196" s="3">
        <f t="shared" si="35"/>
        <v>0.7391851718155904</v>
      </c>
    </row>
    <row r="197" spans="1:17" x14ac:dyDescent="0.3">
      <c r="A197" s="1" t="s">
        <v>200</v>
      </c>
      <c r="B197">
        <v>1989.85</v>
      </c>
      <c r="C197">
        <v>2545.4870000000001</v>
      </c>
      <c r="D197">
        <v>3150.0219999999999</v>
      </c>
      <c r="E197">
        <v>3720.002</v>
      </c>
      <c r="G197" s="2">
        <f t="shared" si="27"/>
        <v>0</v>
      </c>
      <c r="H197" s="2">
        <f t="shared" si="28"/>
        <v>0</v>
      </c>
      <c r="I197" s="2">
        <f t="shared" si="29"/>
        <v>0</v>
      </c>
      <c r="J197" s="2"/>
      <c r="K197" s="2">
        <f t="shared" si="30"/>
        <v>1</v>
      </c>
      <c r="L197" s="2">
        <f t="shared" si="31"/>
        <v>1</v>
      </c>
      <c r="M197" s="2">
        <f t="shared" si="32"/>
        <v>1</v>
      </c>
      <c r="O197" s="3">
        <f t="shared" si="33"/>
        <v>0.78171681882484567</v>
      </c>
      <c r="P197" s="3">
        <f t="shared" si="34"/>
        <v>0.80808546733959319</v>
      </c>
      <c r="Q197" s="3">
        <f t="shared" si="35"/>
        <v>0.63169400086729555</v>
      </c>
    </row>
    <row r="198" spans="1:17" x14ac:dyDescent="0.3">
      <c r="A198" s="1" t="s">
        <v>201</v>
      </c>
      <c r="B198">
        <v>2363.9189999999999</v>
      </c>
      <c r="C198">
        <v>2821</v>
      </c>
      <c r="D198">
        <v>2821</v>
      </c>
      <c r="E198">
        <v>2821</v>
      </c>
      <c r="G198" s="2">
        <f t="shared" si="27"/>
        <v>0</v>
      </c>
      <c r="H198" s="2">
        <f t="shared" si="28"/>
        <v>1</v>
      </c>
      <c r="I198" s="2">
        <f t="shared" si="29"/>
        <v>1</v>
      </c>
      <c r="J198" s="2"/>
      <c r="K198" s="2">
        <f t="shared" si="30"/>
        <v>1</v>
      </c>
      <c r="L198" s="2">
        <f t="shared" si="31"/>
        <v>0</v>
      </c>
      <c r="M198" s="2">
        <f t="shared" si="32"/>
        <v>1</v>
      </c>
      <c r="O198" s="3">
        <f t="shared" si="33"/>
        <v>0.8379719957461893</v>
      </c>
      <c r="P198" s="3">
        <f t="shared" si="34"/>
        <v>1</v>
      </c>
      <c r="Q198" s="3">
        <f t="shared" si="35"/>
        <v>0.8379719957461893</v>
      </c>
    </row>
    <row r="199" spans="1:17" x14ac:dyDescent="0.3">
      <c r="A199" s="1" t="s">
        <v>202</v>
      </c>
      <c r="B199">
        <v>2760.529</v>
      </c>
      <c r="C199">
        <v>3176.0030000000002</v>
      </c>
      <c r="D199">
        <v>3176.0030000000002</v>
      </c>
      <c r="E199">
        <v>3176.0030000000002</v>
      </c>
      <c r="G199" s="2">
        <f t="shared" si="27"/>
        <v>0</v>
      </c>
      <c r="H199" s="2">
        <f t="shared" si="28"/>
        <v>1</v>
      </c>
      <c r="I199" s="2">
        <f t="shared" si="29"/>
        <v>1</v>
      </c>
      <c r="J199" s="2"/>
      <c r="K199" s="2">
        <f t="shared" si="30"/>
        <v>1</v>
      </c>
      <c r="L199" s="2">
        <f t="shared" si="31"/>
        <v>0</v>
      </c>
      <c r="M199" s="2">
        <f t="shared" si="32"/>
        <v>1</v>
      </c>
      <c r="O199" s="3">
        <f t="shared" si="33"/>
        <v>0.86918337293761994</v>
      </c>
      <c r="P199" s="3">
        <f t="shared" si="34"/>
        <v>1</v>
      </c>
      <c r="Q199" s="3">
        <f t="shared" si="35"/>
        <v>0.86918337293761994</v>
      </c>
    </row>
    <row r="200" spans="1:17" x14ac:dyDescent="0.3">
      <c r="A200" s="1" t="s">
        <v>203</v>
      </c>
      <c r="B200">
        <v>1495.4570000000001</v>
      </c>
      <c r="C200">
        <v>1626.001</v>
      </c>
      <c r="D200">
        <v>1626.001</v>
      </c>
      <c r="E200">
        <v>1626.001</v>
      </c>
      <c r="G200" s="2">
        <f t="shared" si="27"/>
        <v>0</v>
      </c>
      <c r="H200" s="2">
        <f t="shared" si="28"/>
        <v>1</v>
      </c>
      <c r="I200" s="2">
        <f t="shared" si="29"/>
        <v>1</v>
      </c>
      <c r="J200" s="2"/>
      <c r="K200" s="2">
        <f t="shared" si="30"/>
        <v>1</v>
      </c>
      <c r="L200" s="2">
        <f t="shared" si="31"/>
        <v>0</v>
      </c>
      <c r="M200" s="2">
        <f t="shared" si="32"/>
        <v>1</v>
      </c>
      <c r="O200" s="3">
        <f t="shared" si="33"/>
        <v>0.91971468652233312</v>
      </c>
      <c r="P200" s="3">
        <f t="shared" si="34"/>
        <v>1</v>
      </c>
      <c r="Q200" s="3">
        <f t="shared" si="35"/>
        <v>0.91971468652233312</v>
      </c>
    </row>
    <row r="201" spans="1:17" x14ac:dyDescent="0.3">
      <c r="A201" s="1" t="s">
        <v>204</v>
      </c>
      <c r="B201">
        <v>943.63699999999994</v>
      </c>
      <c r="C201">
        <v>1311.529</v>
      </c>
      <c r="D201">
        <v>1874.07</v>
      </c>
      <c r="E201">
        <v>2146.0010000000002</v>
      </c>
      <c r="G201" s="2">
        <f t="shared" si="27"/>
        <v>0</v>
      </c>
      <c r="H201" s="2">
        <f t="shared" si="28"/>
        <v>0</v>
      </c>
      <c r="I201" s="2">
        <f t="shared" si="29"/>
        <v>0</v>
      </c>
      <c r="J201" s="2"/>
      <c r="K201" s="2">
        <f t="shared" si="30"/>
        <v>1</v>
      </c>
      <c r="L201" s="2">
        <f t="shared" si="31"/>
        <v>1</v>
      </c>
      <c r="M201" s="2">
        <f t="shared" si="32"/>
        <v>1</v>
      </c>
      <c r="O201" s="3">
        <f t="shared" si="33"/>
        <v>0.71949381218409958</v>
      </c>
      <c r="P201" s="3">
        <f t="shared" si="34"/>
        <v>0.6998292486406591</v>
      </c>
      <c r="Q201" s="3">
        <f t="shared" si="35"/>
        <v>0.50352281398240195</v>
      </c>
    </row>
    <row r="202" spans="1:17" x14ac:dyDescent="0.3">
      <c r="A202" s="1" t="s">
        <v>205</v>
      </c>
      <c r="B202">
        <v>1557.6590000000001</v>
      </c>
      <c r="C202">
        <v>2312.17</v>
      </c>
      <c r="D202">
        <v>3119.9989999999998</v>
      </c>
      <c r="E202">
        <v>3119.9989999999998</v>
      </c>
      <c r="G202" s="2">
        <f t="shared" si="27"/>
        <v>0</v>
      </c>
      <c r="H202" s="2">
        <f t="shared" si="28"/>
        <v>0</v>
      </c>
      <c r="I202" s="2">
        <f t="shared" si="29"/>
        <v>1</v>
      </c>
      <c r="J202" s="2"/>
      <c r="K202" s="2">
        <f t="shared" si="30"/>
        <v>1</v>
      </c>
      <c r="L202" s="2">
        <f t="shared" si="31"/>
        <v>1</v>
      </c>
      <c r="M202" s="2">
        <f t="shared" si="32"/>
        <v>1</v>
      </c>
      <c r="O202" s="3">
        <f t="shared" si="33"/>
        <v>0.67367840599955886</v>
      </c>
      <c r="P202" s="3">
        <f t="shared" si="34"/>
        <v>0.74108036573088654</v>
      </c>
      <c r="Q202" s="3">
        <f t="shared" si="35"/>
        <v>0.49924983950315377</v>
      </c>
    </row>
    <row r="203" spans="1:17" x14ac:dyDescent="0.3">
      <c r="A203" s="1" t="s">
        <v>206</v>
      </c>
      <c r="B203">
        <v>1951.3630000000001</v>
      </c>
      <c r="C203">
        <v>2519.7139999999999</v>
      </c>
      <c r="D203">
        <v>2712.0030000000002</v>
      </c>
      <c r="E203">
        <v>2712.0030000000002</v>
      </c>
      <c r="G203" s="2">
        <f t="shared" si="27"/>
        <v>0</v>
      </c>
      <c r="H203" s="2">
        <f t="shared" si="28"/>
        <v>0</v>
      </c>
      <c r="I203" s="2">
        <f t="shared" si="29"/>
        <v>1</v>
      </c>
      <c r="J203" s="2"/>
      <c r="K203" s="2">
        <f t="shared" si="30"/>
        <v>1</v>
      </c>
      <c r="L203" s="2">
        <f t="shared" si="31"/>
        <v>1</v>
      </c>
      <c r="M203" s="2">
        <f t="shared" si="32"/>
        <v>1</v>
      </c>
      <c r="O203" s="3">
        <f t="shared" si="33"/>
        <v>0.774438289424911</v>
      </c>
      <c r="P203" s="3">
        <f t="shared" si="34"/>
        <v>0.92909705483364136</v>
      </c>
      <c r="Q203" s="3">
        <f t="shared" si="35"/>
        <v>0.71952833385508785</v>
      </c>
    </row>
    <row r="204" spans="1:17" x14ac:dyDescent="0.3">
      <c r="A204" s="1" t="s">
        <v>207</v>
      </c>
      <c r="B204">
        <v>1078.241</v>
      </c>
      <c r="C204">
        <v>1432.1890000000001</v>
      </c>
      <c r="D204">
        <v>1947</v>
      </c>
      <c r="E204">
        <v>1947</v>
      </c>
      <c r="G204" s="2">
        <f t="shared" si="27"/>
        <v>0</v>
      </c>
      <c r="H204" s="2">
        <f t="shared" si="28"/>
        <v>0</v>
      </c>
      <c r="I204" s="2">
        <f t="shared" si="29"/>
        <v>1</v>
      </c>
      <c r="J204" s="2"/>
      <c r="K204" s="2">
        <f t="shared" si="30"/>
        <v>1</v>
      </c>
      <c r="L204" s="2">
        <f t="shared" si="31"/>
        <v>1</v>
      </c>
      <c r="M204" s="2">
        <f t="shared" si="32"/>
        <v>1</v>
      </c>
      <c r="O204" s="3">
        <f t="shared" si="33"/>
        <v>0.75286222698261185</v>
      </c>
      <c r="P204" s="3">
        <f t="shared" si="34"/>
        <v>0.73558757062146896</v>
      </c>
      <c r="Q204" s="3">
        <f t="shared" si="35"/>
        <v>0.55379609655880846</v>
      </c>
    </row>
    <row r="205" spans="1:17" x14ac:dyDescent="0.3">
      <c r="A205" s="1" t="s">
        <v>208</v>
      </c>
      <c r="B205">
        <v>1165.21</v>
      </c>
      <c r="C205">
        <v>1736.4159999999999</v>
      </c>
      <c r="D205">
        <v>3005.9180000000001</v>
      </c>
      <c r="E205">
        <v>3115.9969999999998</v>
      </c>
      <c r="G205" s="2">
        <f t="shared" si="27"/>
        <v>0</v>
      </c>
      <c r="H205" s="2">
        <f t="shared" si="28"/>
        <v>0</v>
      </c>
      <c r="I205" s="2">
        <f t="shared" si="29"/>
        <v>0</v>
      </c>
      <c r="J205" s="2"/>
      <c r="K205" s="2">
        <f t="shared" si="30"/>
        <v>1</v>
      </c>
      <c r="L205" s="2">
        <f t="shared" si="31"/>
        <v>1</v>
      </c>
      <c r="M205" s="2">
        <f t="shared" si="32"/>
        <v>1</v>
      </c>
      <c r="O205" s="3">
        <f t="shared" si="33"/>
        <v>0.67104311409247563</v>
      </c>
      <c r="P205" s="3">
        <f t="shared" si="34"/>
        <v>0.57766579128239692</v>
      </c>
      <c r="Q205" s="3">
        <f t="shared" si="35"/>
        <v>0.38763865148683363</v>
      </c>
    </row>
    <row r="206" spans="1:17" x14ac:dyDescent="0.3">
      <c r="A206" s="1" t="s">
        <v>209</v>
      </c>
      <c r="B206">
        <v>582.22500000000002</v>
      </c>
      <c r="C206">
        <v>1384.819</v>
      </c>
      <c r="D206">
        <v>1471.1289999999999</v>
      </c>
      <c r="E206">
        <v>1655.998</v>
      </c>
      <c r="G206" s="2">
        <f t="shared" si="27"/>
        <v>0</v>
      </c>
      <c r="H206" s="2">
        <f t="shared" si="28"/>
        <v>0</v>
      </c>
      <c r="I206" s="2">
        <f t="shared" si="29"/>
        <v>0</v>
      </c>
      <c r="J206" s="2"/>
      <c r="K206" s="2">
        <f t="shared" si="30"/>
        <v>1</v>
      </c>
      <c r="L206" s="2">
        <f t="shared" si="31"/>
        <v>1</v>
      </c>
      <c r="M206" s="2">
        <f t="shared" si="32"/>
        <v>1</v>
      </c>
      <c r="O206" s="3">
        <f t="shared" si="33"/>
        <v>0.42043400617698057</v>
      </c>
      <c r="P206" s="3">
        <f t="shared" si="34"/>
        <v>0.9413307738478407</v>
      </c>
      <c r="Q206" s="3">
        <f t="shared" si="35"/>
        <v>0.39576746838652493</v>
      </c>
    </row>
    <row r="207" spans="1:17" x14ac:dyDescent="0.3">
      <c r="A207" s="1" t="s">
        <v>210</v>
      </c>
      <c r="B207">
        <v>2856.8670000000002</v>
      </c>
      <c r="C207">
        <v>3350.002</v>
      </c>
      <c r="D207">
        <v>3350.002</v>
      </c>
      <c r="E207">
        <v>3350.002</v>
      </c>
      <c r="G207" s="2">
        <f t="shared" si="27"/>
        <v>0</v>
      </c>
      <c r="H207" s="2">
        <f t="shared" si="28"/>
        <v>1</v>
      </c>
      <c r="I207" s="2">
        <f t="shared" si="29"/>
        <v>1</v>
      </c>
      <c r="J207" s="2"/>
      <c r="K207" s="2">
        <f t="shared" si="30"/>
        <v>1</v>
      </c>
      <c r="L207" s="2">
        <f t="shared" si="31"/>
        <v>0</v>
      </c>
      <c r="M207" s="2">
        <f t="shared" si="32"/>
        <v>1</v>
      </c>
      <c r="O207" s="3">
        <f t="shared" si="33"/>
        <v>0.85279561027127748</v>
      </c>
      <c r="P207" s="3">
        <f t="shared" si="34"/>
        <v>1</v>
      </c>
      <c r="Q207" s="3">
        <f t="shared" si="35"/>
        <v>0.85279561027127748</v>
      </c>
    </row>
    <row r="208" spans="1:17" x14ac:dyDescent="0.3">
      <c r="A208" s="1" t="s">
        <v>211</v>
      </c>
      <c r="B208">
        <v>2238.08</v>
      </c>
      <c r="C208">
        <v>3770.0030000000002</v>
      </c>
      <c r="D208">
        <v>3770.0030000000002</v>
      </c>
      <c r="E208">
        <v>3770.0030000000002</v>
      </c>
      <c r="G208" s="2">
        <f t="shared" si="27"/>
        <v>0</v>
      </c>
      <c r="H208" s="2">
        <f t="shared" si="28"/>
        <v>1</v>
      </c>
      <c r="I208" s="2">
        <f t="shared" si="29"/>
        <v>1</v>
      </c>
      <c r="J208" s="2"/>
      <c r="K208" s="2">
        <f t="shared" si="30"/>
        <v>1</v>
      </c>
      <c r="L208" s="2">
        <f t="shared" si="31"/>
        <v>0</v>
      </c>
      <c r="M208" s="2">
        <f t="shared" si="32"/>
        <v>1</v>
      </c>
      <c r="O208" s="3">
        <f t="shared" si="33"/>
        <v>0.59365470000952247</v>
      </c>
      <c r="P208" s="3">
        <f t="shared" si="34"/>
        <v>1</v>
      </c>
      <c r="Q208" s="3">
        <f t="shared" si="35"/>
        <v>0.59365470000952247</v>
      </c>
    </row>
    <row r="209" spans="1:17" x14ac:dyDescent="0.3">
      <c r="A209" s="1" t="s">
        <v>212</v>
      </c>
      <c r="B209">
        <v>3187.7979999999998</v>
      </c>
      <c r="C209">
        <v>3840.9969999999998</v>
      </c>
      <c r="D209">
        <v>3840.9969999999998</v>
      </c>
      <c r="E209">
        <v>3840.9969999999998</v>
      </c>
      <c r="G209" s="2">
        <f t="shared" si="27"/>
        <v>0</v>
      </c>
      <c r="H209" s="2">
        <f t="shared" si="28"/>
        <v>1</v>
      </c>
      <c r="I209" s="2">
        <f t="shared" si="29"/>
        <v>1</v>
      </c>
      <c r="J209" s="2"/>
      <c r="K209" s="2">
        <f t="shared" si="30"/>
        <v>1</v>
      </c>
      <c r="L209" s="2">
        <f t="shared" si="31"/>
        <v>0</v>
      </c>
      <c r="M209" s="2">
        <f t="shared" si="32"/>
        <v>1</v>
      </c>
      <c r="O209" s="3">
        <f t="shared" si="33"/>
        <v>0.82994024728475446</v>
      </c>
      <c r="P209" s="3">
        <f t="shared" si="34"/>
        <v>1</v>
      </c>
      <c r="Q209" s="3">
        <f t="shared" si="35"/>
        <v>0.82994024728475446</v>
      </c>
    </row>
    <row r="210" spans="1:17" x14ac:dyDescent="0.3">
      <c r="A210" s="1" t="s">
        <v>213</v>
      </c>
      <c r="B210">
        <v>2624.0369999999998</v>
      </c>
      <c r="C210">
        <v>3402</v>
      </c>
      <c r="D210">
        <v>3402</v>
      </c>
      <c r="E210">
        <v>3402</v>
      </c>
      <c r="G210" s="2">
        <f t="shared" si="27"/>
        <v>0</v>
      </c>
      <c r="H210" s="2">
        <f t="shared" si="28"/>
        <v>1</v>
      </c>
      <c r="I210" s="2">
        <f t="shared" si="29"/>
        <v>1</v>
      </c>
      <c r="J210" s="2"/>
      <c r="K210" s="2">
        <f t="shared" si="30"/>
        <v>1</v>
      </c>
      <c r="L210" s="2">
        <f t="shared" si="31"/>
        <v>0</v>
      </c>
      <c r="M210" s="2">
        <f t="shared" si="32"/>
        <v>1</v>
      </c>
      <c r="O210" s="3">
        <f t="shared" si="33"/>
        <v>0.77132186948853609</v>
      </c>
      <c r="P210" s="3">
        <f t="shared" si="34"/>
        <v>1</v>
      </c>
      <c r="Q210" s="3">
        <f t="shared" si="35"/>
        <v>0.77132186948853609</v>
      </c>
    </row>
    <row r="211" spans="1:17" x14ac:dyDescent="0.3">
      <c r="A211" s="1" t="s">
        <v>214</v>
      </c>
      <c r="B211">
        <v>1602.7149999999999</v>
      </c>
      <c r="C211">
        <v>2392</v>
      </c>
      <c r="D211">
        <v>2392</v>
      </c>
      <c r="E211">
        <v>2392</v>
      </c>
      <c r="G211" s="2">
        <f t="shared" si="27"/>
        <v>0</v>
      </c>
      <c r="H211" s="2">
        <f t="shared" si="28"/>
        <v>1</v>
      </c>
      <c r="I211" s="2">
        <f t="shared" si="29"/>
        <v>1</v>
      </c>
      <c r="J211" s="2"/>
      <c r="K211" s="2">
        <f t="shared" si="30"/>
        <v>1</v>
      </c>
      <c r="L211" s="2">
        <f t="shared" si="31"/>
        <v>0</v>
      </c>
      <c r="M211" s="2">
        <f t="shared" si="32"/>
        <v>1</v>
      </c>
      <c r="O211" s="3">
        <f t="shared" si="33"/>
        <v>0.67003135451505014</v>
      </c>
      <c r="P211" s="3">
        <f t="shared" si="34"/>
        <v>1</v>
      </c>
      <c r="Q211" s="3">
        <f t="shared" si="35"/>
        <v>0.67003135451505014</v>
      </c>
    </row>
    <row r="212" spans="1:17" x14ac:dyDescent="0.3">
      <c r="A212" s="1" t="s">
        <v>215</v>
      </c>
      <c r="B212">
        <v>2037.942</v>
      </c>
      <c r="C212">
        <v>2321</v>
      </c>
      <c r="D212">
        <v>2321</v>
      </c>
      <c r="E212">
        <v>2321</v>
      </c>
      <c r="G212" s="2">
        <f t="shared" si="27"/>
        <v>0</v>
      </c>
      <c r="H212" s="2">
        <f t="shared" si="28"/>
        <v>1</v>
      </c>
      <c r="I212" s="2">
        <f t="shared" si="29"/>
        <v>1</v>
      </c>
      <c r="J212" s="2"/>
      <c r="K212" s="2">
        <f t="shared" si="30"/>
        <v>1</v>
      </c>
      <c r="L212" s="2">
        <f t="shared" si="31"/>
        <v>0</v>
      </c>
      <c r="M212" s="2">
        <f t="shared" si="32"/>
        <v>1</v>
      </c>
      <c r="O212" s="3">
        <f t="shared" si="33"/>
        <v>0.87804480827229647</v>
      </c>
      <c r="P212" s="3">
        <f t="shared" si="34"/>
        <v>1</v>
      </c>
      <c r="Q212" s="3">
        <f t="shared" si="35"/>
        <v>0.87804480827229647</v>
      </c>
    </row>
    <row r="213" spans="1:17" x14ac:dyDescent="0.3">
      <c r="A213" s="1" t="s">
        <v>216</v>
      </c>
      <c r="B213">
        <v>837.51400000000001</v>
      </c>
      <c r="C213">
        <v>1334.058</v>
      </c>
      <c r="D213">
        <v>1498.383</v>
      </c>
      <c r="E213">
        <v>2555.9989999999998</v>
      </c>
      <c r="G213" s="2">
        <f t="shared" si="27"/>
        <v>0</v>
      </c>
      <c r="H213" s="2">
        <f t="shared" si="28"/>
        <v>0</v>
      </c>
      <c r="I213" s="2">
        <f t="shared" si="29"/>
        <v>0</v>
      </c>
      <c r="J213" s="2"/>
      <c r="K213" s="2">
        <f t="shared" si="30"/>
        <v>1</v>
      </c>
      <c r="L213" s="2">
        <f t="shared" si="31"/>
        <v>1</v>
      </c>
      <c r="M213" s="2">
        <f t="shared" si="32"/>
        <v>1</v>
      </c>
      <c r="O213" s="3">
        <f t="shared" si="33"/>
        <v>0.62779429380131901</v>
      </c>
      <c r="P213" s="3">
        <f t="shared" si="34"/>
        <v>0.89033177765631344</v>
      </c>
      <c r="Q213" s="3">
        <f t="shared" si="35"/>
        <v>0.55894520960261829</v>
      </c>
    </row>
    <row r="214" spans="1:17" x14ac:dyDescent="0.3">
      <c r="A214" s="1" t="s">
        <v>217</v>
      </c>
      <c r="B214">
        <v>2580.002</v>
      </c>
      <c r="C214">
        <v>2580.002</v>
      </c>
      <c r="D214">
        <v>2580.002</v>
      </c>
      <c r="E214">
        <v>2580.002</v>
      </c>
      <c r="G214" s="2">
        <f t="shared" si="27"/>
        <v>1</v>
      </c>
      <c r="H214" s="2">
        <f t="shared" si="28"/>
        <v>1</v>
      </c>
      <c r="I214" s="2">
        <f t="shared" si="29"/>
        <v>1</v>
      </c>
      <c r="J214" s="2"/>
      <c r="K214" s="2">
        <f t="shared" si="30"/>
        <v>0</v>
      </c>
      <c r="L214" s="2">
        <f t="shared" si="31"/>
        <v>0</v>
      </c>
      <c r="M214" s="2">
        <f t="shared" si="32"/>
        <v>0</v>
      </c>
      <c r="O214" s="3">
        <f t="shared" si="33"/>
        <v>1</v>
      </c>
      <c r="P214" s="3">
        <f t="shared" si="34"/>
        <v>1</v>
      </c>
      <c r="Q214" s="3">
        <f t="shared" si="35"/>
        <v>1</v>
      </c>
    </row>
    <row r="215" spans="1:17" x14ac:dyDescent="0.3">
      <c r="A215" s="1" t="s">
        <v>218</v>
      </c>
      <c r="B215">
        <v>2095.038</v>
      </c>
      <c r="C215">
        <v>2979.002</v>
      </c>
      <c r="D215">
        <v>2979.002</v>
      </c>
      <c r="E215">
        <v>2979.002</v>
      </c>
      <c r="G215" s="2">
        <f t="shared" si="27"/>
        <v>0</v>
      </c>
      <c r="H215" s="2">
        <f t="shared" si="28"/>
        <v>1</v>
      </c>
      <c r="I215" s="2">
        <f t="shared" si="29"/>
        <v>1</v>
      </c>
      <c r="J215" s="2"/>
      <c r="K215" s="2">
        <f t="shared" si="30"/>
        <v>1</v>
      </c>
      <c r="L215" s="2">
        <f t="shared" si="31"/>
        <v>0</v>
      </c>
      <c r="M215" s="2">
        <f t="shared" si="32"/>
        <v>1</v>
      </c>
      <c r="O215" s="3">
        <f t="shared" si="33"/>
        <v>0.7032684100245653</v>
      </c>
      <c r="P215" s="3">
        <f t="shared" si="34"/>
        <v>1</v>
      </c>
      <c r="Q215" s="3">
        <f t="shared" si="35"/>
        <v>0.7032684100245653</v>
      </c>
    </row>
    <row r="216" spans="1:17" x14ac:dyDescent="0.3">
      <c r="A216" s="1" t="s">
        <v>219</v>
      </c>
      <c r="B216">
        <v>2236.7510000000002</v>
      </c>
      <c r="C216">
        <v>3177.991</v>
      </c>
      <c r="D216">
        <v>4540.0079999999998</v>
      </c>
      <c r="E216">
        <v>4540.0079999999998</v>
      </c>
      <c r="G216" s="2">
        <f t="shared" si="27"/>
        <v>0</v>
      </c>
      <c r="H216" s="2">
        <f t="shared" si="28"/>
        <v>0</v>
      </c>
      <c r="I216" s="2">
        <f t="shared" si="29"/>
        <v>1</v>
      </c>
      <c r="J216" s="2"/>
      <c r="K216" s="2">
        <f t="shared" si="30"/>
        <v>1</v>
      </c>
      <c r="L216" s="2">
        <f t="shared" si="31"/>
        <v>1</v>
      </c>
      <c r="M216" s="2">
        <f t="shared" si="32"/>
        <v>1</v>
      </c>
      <c r="O216" s="3">
        <f t="shared" si="33"/>
        <v>0.70382546709540716</v>
      </c>
      <c r="P216" s="3">
        <f t="shared" si="34"/>
        <v>0.69999678414663591</v>
      </c>
      <c r="Q216" s="3">
        <f t="shared" si="35"/>
        <v>0.49267556356728892</v>
      </c>
    </row>
    <row r="217" spans="1:17" x14ac:dyDescent="0.3">
      <c r="A217" s="1" t="s">
        <v>220</v>
      </c>
      <c r="B217">
        <v>857.20500000000004</v>
      </c>
      <c r="C217">
        <v>1246.2090000000001</v>
      </c>
      <c r="D217">
        <v>1511.68</v>
      </c>
      <c r="E217">
        <v>2255.002</v>
      </c>
      <c r="G217" s="2">
        <f t="shared" si="27"/>
        <v>0</v>
      </c>
      <c r="H217" s="2">
        <f t="shared" si="28"/>
        <v>0</v>
      </c>
      <c r="I217" s="2">
        <f t="shared" si="29"/>
        <v>0</v>
      </c>
      <c r="J217" s="2"/>
      <c r="K217" s="2">
        <f t="shared" si="30"/>
        <v>1</v>
      </c>
      <c r="L217" s="2">
        <f t="shared" si="31"/>
        <v>1</v>
      </c>
      <c r="M217" s="2">
        <f t="shared" si="32"/>
        <v>1</v>
      </c>
      <c r="O217" s="3">
        <f t="shared" si="33"/>
        <v>0.68785011181912503</v>
      </c>
      <c r="P217" s="3">
        <f t="shared" si="34"/>
        <v>0.8243867749788315</v>
      </c>
      <c r="Q217" s="3">
        <f t="shared" si="35"/>
        <v>0.56705453535139716</v>
      </c>
    </row>
    <row r="218" spans="1:17" x14ac:dyDescent="0.3">
      <c r="A218" s="1" t="s">
        <v>221</v>
      </c>
      <c r="B218">
        <v>1800.942</v>
      </c>
      <c r="C218">
        <v>2454.1840000000002</v>
      </c>
      <c r="D218">
        <v>2736.1170000000002</v>
      </c>
      <c r="E218">
        <v>3219</v>
      </c>
      <c r="G218" s="2">
        <f t="shared" si="27"/>
        <v>0</v>
      </c>
      <c r="H218" s="2">
        <f t="shared" si="28"/>
        <v>0</v>
      </c>
      <c r="I218" s="2">
        <f t="shared" si="29"/>
        <v>0</v>
      </c>
      <c r="J218" s="2"/>
      <c r="K218" s="2">
        <f t="shared" si="30"/>
        <v>1</v>
      </c>
      <c r="L218" s="2">
        <f t="shared" si="31"/>
        <v>1</v>
      </c>
      <c r="M218" s="2">
        <f t="shared" si="32"/>
        <v>1</v>
      </c>
      <c r="O218" s="3">
        <f t="shared" si="33"/>
        <v>0.73382517366261046</v>
      </c>
      <c r="P218" s="3">
        <f t="shared" si="34"/>
        <v>0.89695871923605608</v>
      </c>
      <c r="Q218" s="3">
        <f t="shared" si="35"/>
        <v>0.65821088791159144</v>
      </c>
    </row>
    <row r="219" spans="1:17" x14ac:dyDescent="0.3">
      <c r="A219" s="1" t="s">
        <v>222</v>
      </c>
      <c r="B219">
        <v>3227.7269999999999</v>
      </c>
      <c r="C219">
        <v>4100.0010000000002</v>
      </c>
      <c r="D219">
        <v>4100.0010000000002</v>
      </c>
      <c r="E219">
        <v>4100.0010000000002</v>
      </c>
      <c r="G219" s="2">
        <f t="shared" si="27"/>
        <v>0</v>
      </c>
      <c r="H219" s="2">
        <f t="shared" si="28"/>
        <v>1</v>
      </c>
      <c r="I219" s="2">
        <f t="shared" si="29"/>
        <v>1</v>
      </c>
      <c r="J219" s="2"/>
      <c r="K219" s="2">
        <f t="shared" si="30"/>
        <v>1</v>
      </c>
      <c r="L219" s="2">
        <f t="shared" si="31"/>
        <v>0</v>
      </c>
      <c r="M219" s="2">
        <f t="shared" si="32"/>
        <v>1</v>
      </c>
      <c r="O219" s="3">
        <f t="shared" si="33"/>
        <v>0.78725029579261074</v>
      </c>
      <c r="P219" s="3">
        <f t="shared" si="34"/>
        <v>1</v>
      </c>
      <c r="Q219" s="3">
        <f t="shared" si="35"/>
        <v>0.78725029579261074</v>
      </c>
    </row>
    <row r="220" spans="1:17" x14ac:dyDescent="0.3">
      <c r="A220" s="1" t="s">
        <v>223</v>
      </c>
      <c r="B220">
        <v>2396.2020000000002</v>
      </c>
      <c r="C220">
        <v>3046.567</v>
      </c>
      <c r="D220">
        <v>3514</v>
      </c>
      <c r="E220">
        <v>3514</v>
      </c>
      <c r="G220" s="2">
        <f t="shared" si="27"/>
        <v>0</v>
      </c>
      <c r="H220" s="2">
        <f t="shared" si="28"/>
        <v>0</v>
      </c>
      <c r="I220" s="2">
        <f t="shared" si="29"/>
        <v>1</v>
      </c>
      <c r="J220" s="2"/>
      <c r="K220" s="2">
        <f t="shared" si="30"/>
        <v>1</v>
      </c>
      <c r="L220" s="2">
        <f t="shared" si="31"/>
        <v>1</v>
      </c>
      <c r="M220" s="2">
        <f t="shared" si="32"/>
        <v>1</v>
      </c>
      <c r="O220" s="3">
        <f t="shared" si="33"/>
        <v>0.78652529223877243</v>
      </c>
      <c r="P220" s="3">
        <f t="shared" si="34"/>
        <v>0.86697979510529311</v>
      </c>
      <c r="Q220" s="3">
        <f t="shared" si="35"/>
        <v>0.68190153671030174</v>
      </c>
    </row>
    <row r="221" spans="1:17" x14ac:dyDescent="0.3">
      <c r="A221" s="1" t="s">
        <v>224</v>
      </c>
      <c r="B221">
        <v>1626.7</v>
      </c>
      <c r="C221">
        <v>2091.5639999999999</v>
      </c>
      <c r="D221">
        <v>2166.9989999999998</v>
      </c>
      <c r="E221">
        <v>2166.9989999999998</v>
      </c>
      <c r="G221" s="2">
        <f t="shared" si="27"/>
        <v>0</v>
      </c>
      <c r="H221" s="2">
        <f t="shared" si="28"/>
        <v>0</v>
      </c>
      <c r="I221" s="2">
        <f t="shared" si="29"/>
        <v>1</v>
      </c>
      <c r="J221" s="2"/>
      <c r="K221" s="2">
        <f t="shared" si="30"/>
        <v>1</v>
      </c>
      <c r="L221" s="2">
        <f t="shared" si="31"/>
        <v>1</v>
      </c>
      <c r="M221" s="2">
        <f t="shared" si="32"/>
        <v>1</v>
      </c>
      <c r="O221" s="3">
        <f t="shared" si="33"/>
        <v>0.77774335377736481</v>
      </c>
      <c r="P221" s="3">
        <f t="shared" si="34"/>
        <v>0.96518918559722455</v>
      </c>
      <c r="Q221" s="3">
        <f t="shared" si="35"/>
        <v>0.75066947423602881</v>
      </c>
    </row>
    <row r="222" spans="1:17" x14ac:dyDescent="0.3">
      <c r="A222" s="1" t="s">
        <v>225</v>
      </c>
      <c r="B222">
        <v>1642.6790000000001</v>
      </c>
      <c r="C222">
        <v>2303.66</v>
      </c>
      <c r="D222">
        <v>2303.66</v>
      </c>
      <c r="E222">
        <v>2423.998</v>
      </c>
      <c r="G222" s="2">
        <f t="shared" si="27"/>
        <v>0</v>
      </c>
      <c r="H222" s="2">
        <f t="shared" si="28"/>
        <v>0</v>
      </c>
      <c r="I222" s="2">
        <f t="shared" si="29"/>
        <v>0</v>
      </c>
      <c r="J222" s="2"/>
      <c r="K222" s="2">
        <f t="shared" si="30"/>
        <v>1</v>
      </c>
      <c r="L222" s="2">
        <f t="shared" si="31"/>
        <v>0</v>
      </c>
      <c r="M222" s="2">
        <f t="shared" si="32"/>
        <v>1</v>
      </c>
      <c r="O222" s="3">
        <f t="shared" si="33"/>
        <v>0.71307354383893462</v>
      </c>
      <c r="P222" s="3">
        <f t="shared" si="34"/>
        <v>1</v>
      </c>
      <c r="Q222" s="3">
        <f t="shared" si="35"/>
        <v>0.71307354383893462</v>
      </c>
    </row>
    <row r="223" spans="1:17" x14ac:dyDescent="0.3">
      <c r="A223" s="1" t="s">
        <v>226</v>
      </c>
      <c r="B223">
        <v>1412.7739999999999</v>
      </c>
      <c r="C223">
        <v>2055.7159999999999</v>
      </c>
      <c r="D223">
        <v>2217.9989999999998</v>
      </c>
      <c r="E223">
        <v>2217.9989999999998</v>
      </c>
      <c r="G223" s="2">
        <f t="shared" si="27"/>
        <v>0</v>
      </c>
      <c r="H223" s="2">
        <f t="shared" si="28"/>
        <v>0</v>
      </c>
      <c r="I223" s="2">
        <f t="shared" si="29"/>
        <v>1</v>
      </c>
      <c r="J223" s="2"/>
      <c r="K223" s="2">
        <f t="shared" si="30"/>
        <v>1</v>
      </c>
      <c r="L223" s="2">
        <f t="shared" si="31"/>
        <v>1</v>
      </c>
      <c r="M223" s="2">
        <f t="shared" si="32"/>
        <v>1</v>
      </c>
      <c r="O223" s="3">
        <f t="shared" si="33"/>
        <v>0.68724181744949198</v>
      </c>
      <c r="P223" s="3">
        <f t="shared" si="34"/>
        <v>0.92683360091686251</v>
      </c>
      <c r="Q223" s="3">
        <f t="shared" si="35"/>
        <v>0.63695880836736174</v>
      </c>
    </row>
    <row r="224" spans="1:17" x14ac:dyDescent="0.3">
      <c r="A224" s="1" t="s">
        <v>227</v>
      </c>
      <c r="B224">
        <v>1092.9179999999999</v>
      </c>
      <c r="C224">
        <v>1479.7470000000001</v>
      </c>
      <c r="D224">
        <v>2016.2719999999999</v>
      </c>
      <c r="E224">
        <v>2050</v>
      </c>
      <c r="G224" s="2">
        <f t="shared" si="27"/>
        <v>0</v>
      </c>
      <c r="H224" s="2">
        <f t="shared" si="28"/>
        <v>0</v>
      </c>
      <c r="I224" s="2">
        <f t="shared" si="29"/>
        <v>0</v>
      </c>
      <c r="J224" s="2"/>
      <c r="K224" s="2">
        <f t="shared" si="30"/>
        <v>1</v>
      </c>
      <c r="L224" s="2">
        <f t="shared" si="31"/>
        <v>1</v>
      </c>
      <c r="M224" s="2">
        <f t="shared" si="32"/>
        <v>1</v>
      </c>
      <c r="O224" s="3">
        <f t="shared" si="33"/>
        <v>0.73858436611123379</v>
      </c>
      <c r="P224" s="3">
        <f t="shared" si="34"/>
        <v>0.73390246950808236</v>
      </c>
      <c r="Q224" s="3">
        <f t="shared" si="35"/>
        <v>0.54204889022909608</v>
      </c>
    </row>
    <row r="225" spans="1:17" x14ac:dyDescent="0.3">
      <c r="A225" s="1" t="s">
        <v>228</v>
      </c>
      <c r="B225">
        <v>1234.078</v>
      </c>
      <c r="C225">
        <v>1728.2170000000001</v>
      </c>
      <c r="D225">
        <v>1817.69</v>
      </c>
      <c r="E225">
        <v>2142.9989999999998</v>
      </c>
      <c r="G225" s="2">
        <f t="shared" si="27"/>
        <v>0</v>
      </c>
      <c r="H225" s="2">
        <f t="shared" si="28"/>
        <v>0</v>
      </c>
      <c r="I225" s="2">
        <f t="shared" si="29"/>
        <v>0</v>
      </c>
      <c r="J225" s="2"/>
      <c r="K225" s="2">
        <f t="shared" si="30"/>
        <v>1</v>
      </c>
      <c r="L225" s="2">
        <f t="shared" si="31"/>
        <v>1</v>
      </c>
      <c r="M225" s="2">
        <f t="shared" si="32"/>
        <v>1</v>
      </c>
      <c r="O225" s="3">
        <f t="shared" si="33"/>
        <v>0.7140758365413602</v>
      </c>
      <c r="P225" s="3">
        <f t="shared" si="34"/>
        <v>0.95077653505273174</v>
      </c>
      <c r="Q225" s="3">
        <f t="shared" si="35"/>
        <v>0.67892654963167531</v>
      </c>
    </row>
    <row r="226" spans="1:17" x14ac:dyDescent="0.3">
      <c r="A226" s="1" t="s">
        <v>229</v>
      </c>
      <c r="B226">
        <v>1791.8710000000001</v>
      </c>
      <c r="C226">
        <v>2485.683</v>
      </c>
      <c r="D226">
        <v>2815.9949999999999</v>
      </c>
      <c r="E226">
        <v>2815.9949999999999</v>
      </c>
      <c r="G226" s="2">
        <f t="shared" si="27"/>
        <v>0</v>
      </c>
      <c r="H226" s="2">
        <f t="shared" si="28"/>
        <v>0</v>
      </c>
      <c r="I226" s="2">
        <f t="shared" si="29"/>
        <v>1</v>
      </c>
      <c r="J226" s="2"/>
      <c r="K226" s="2">
        <f t="shared" si="30"/>
        <v>1</v>
      </c>
      <c r="L226" s="2">
        <f t="shared" si="31"/>
        <v>1</v>
      </c>
      <c r="M226" s="2">
        <f t="shared" si="32"/>
        <v>1</v>
      </c>
      <c r="O226" s="3">
        <f t="shared" si="33"/>
        <v>0.72087671678166532</v>
      </c>
      <c r="P226" s="3">
        <f t="shared" si="34"/>
        <v>0.88270149627396355</v>
      </c>
      <c r="Q226" s="3">
        <f t="shared" si="35"/>
        <v>0.63631895653223824</v>
      </c>
    </row>
    <row r="227" spans="1:17" x14ac:dyDescent="0.3">
      <c r="A227" s="1" t="s">
        <v>230</v>
      </c>
      <c r="B227">
        <v>1659.91</v>
      </c>
      <c r="C227">
        <v>2105.4589999999998</v>
      </c>
      <c r="D227">
        <v>2529.9969999999998</v>
      </c>
      <c r="E227">
        <v>2529.9969999999998</v>
      </c>
      <c r="G227" s="2">
        <f t="shared" si="27"/>
        <v>0</v>
      </c>
      <c r="H227" s="2">
        <f t="shared" si="28"/>
        <v>0</v>
      </c>
      <c r="I227" s="2">
        <f t="shared" si="29"/>
        <v>1</v>
      </c>
      <c r="J227" s="2"/>
      <c r="K227" s="2">
        <f t="shared" si="30"/>
        <v>1</v>
      </c>
      <c r="L227" s="2">
        <f t="shared" si="31"/>
        <v>1</v>
      </c>
      <c r="M227" s="2">
        <f t="shared" si="32"/>
        <v>1</v>
      </c>
      <c r="O227" s="3">
        <f t="shared" si="33"/>
        <v>0.78838391058671775</v>
      </c>
      <c r="P227" s="3">
        <f t="shared" si="34"/>
        <v>0.83219821999788934</v>
      </c>
      <c r="Q227" s="3">
        <f t="shared" si="35"/>
        <v>0.65609168706524168</v>
      </c>
    </row>
    <row r="228" spans="1:17" x14ac:dyDescent="0.3">
      <c r="A228" s="1" t="s">
        <v>231</v>
      </c>
      <c r="B228">
        <v>1049.5239999999999</v>
      </c>
      <c r="C228">
        <v>1221.0899999999999</v>
      </c>
      <c r="D228">
        <v>1851.568</v>
      </c>
      <c r="E228">
        <v>2053.998</v>
      </c>
      <c r="G228" s="2">
        <f t="shared" si="27"/>
        <v>0</v>
      </c>
      <c r="H228" s="2">
        <f t="shared" si="28"/>
        <v>0</v>
      </c>
      <c r="I228" s="2">
        <f t="shared" si="29"/>
        <v>0</v>
      </c>
      <c r="J228" s="2"/>
      <c r="K228" s="2">
        <f t="shared" si="30"/>
        <v>1</v>
      </c>
      <c r="L228" s="2">
        <f t="shared" si="31"/>
        <v>1</v>
      </c>
      <c r="M228" s="2">
        <f t="shared" si="32"/>
        <v>1</v>
      </c>
      <c r="O228" s="3">
        <f t="shared" si="33"/>
        <v>0.85949766192500143</v>
      </c>
      <c r="P228" s="3">
        <f t="shared" si="34"/>
        <v>0.65948968657915885</v>
      </c>
      <c r="Q228" s="3">
        <f t="shared" si="35"/>
        <v>0.56682984367843903</v>
      </c>
    </row>
    <row r="229" spans="1:17" x14ac:dyDescent="0.3">
      <c r="A229" s="1" t="s">
        <v>232</v>
      </c>
      <c r="B229">
        <v>1806.8589999999999</v>
      </c>
      <c r="C229">
        <v>2101.9989999999998</v>
      </c>
      <c r="D229">
        <v>2101.9989999999998</v>
      </c>
      <c r="E229">
        <v>2101.9989999999998</v>
      </c>
      <c r="G229" s="2">
        <f t="shared" si="27"/>
        <v>0</v>
      </c>
      <c r="H229" s="2">
        <f t="shared" si="28"/>
        <v>1</v>
      </c>
      <c r="I229" s="2">
        <f t="shared" si="29"/>
        <v>1</v>
      </c>
      <c r="J229" s="2"/>
      <c r="K229" s="2">
        <f t="shared" si="30"/>
        <v>1</v>
      </c>
      <c r="L229" s="2">
        <f t="shared" si="31"/>
        <v>0</v>
      </c>
      <c r="M229" s="2">
        <f t="shared" si="32"/>
        <v>1</v>
      </c>
      <c r="O229" s="3">
        <f t="shared" si="33"/>
        <v>0.85959079904414804</v>
      </c>
      <c r="P229" s="3">
        <f t="shared" si="34"/>
        <v>1</v>
      </c>
      <c r="Q229" s="3">
        <f t="shared" si="35"/>
        <v>0.85959079904414804</v>
      </c>
    </row>
    <row r="230" spans="1:17" x14ac:dyDescent="0.3">
      <c r="A230" s="1" t="s">
        <v>233</v>
      </c>
      <c r="B230">
        <v>1550.8389999999999</v>
      </c>
      <c r="C230">
        <v>1897.5509999999999</v>
      </c>
      <c r="D230">
        <v>2111</v>
      </c>
      <c r="E230">
        <v>2111</v>
      </c>
      <c r="G230" s="2">
        <f t="shared" si="27"/>
        <v>0</v>
      </c>
      <c r="H230" s="2">
        <f t="shared" si="28"/>
        <v>0</v>
      </c>
      <c r="I230" s="2">
        <f t="shared" si="29"/>
        <v>1</v>
      </c>
      <c r="J230" s="2"/>
      <c r="K230" s="2">
        <f t="shared" si="30"/>
        <v>1</v>
      </c>
      <c r="L230" s="2">
        <f t="shared" si="31"/>
        <v>1</v>
      </c>
      <c r="M230" s="2">
        <f t="shared" si="32"/>
        <v>1</v>
      </c>
      <c r="O230" s="3">
        <f t="shared" si="33"/>
        <v>0.81728448932334363</v>
      </c>
      <c r="P230" s="3">
        <f t="shared" si="34"/>
        <v>0.89888725722406437</v>
      </c>
      <c r="Q230" s="3">
        <f t="shared" si="35"/>
        <v>0.73464661297963052</v>
      </c>
    </row>
    <row r="231" spans="1:17" x14ac:dyDescent="0.3">
      <c r="A231" s="1" t="s">
        <v>234</v>
      </c>
      <c r="B231">
        <v>1032.1020000000001</v>
      </c>
      <c r="C231">
        <v>1369.2739999999999</v>
      </c>
      <c r="D231">
        <v>1987.4670000000001</v>
      </c>
      <c r="E231">
        <v>2957.0010000000002</v>
      </c>
      <c r="G231" s="2">
        <f t="shared" si="27"/>
        <v>0</v>
      </c>
      <c r="H231" s="2">
        <f t="shared" si="28"/>
        <v>0</v>
      </c>
      <c r="I231" s="2">
        <f t="shared" si="29"/>
        <v>0</v>
      </c>
      <c r="J231" s="2"/>
      <c r="K231" s="2">
        <f t="shared" si="30"/>
        <v>1</v>
      </c>
      <c r="L231" s="2">
        <f t="shared" si="31"/>
        <v>1</v>
      </c>
      <c r="M231" s="2">
        <f t="shared" si="32"/>
        <v>1</v>
      </c>
      <c r="O231" s="3">
        <f t="shared" si="33"/>
        <v>0.75375856110610451</v>
      </c>
      <c r="P231" s="3">
        <f t="shared" si="34"/>
        <v>0.68895433232350511</v>
      </c>
      <c r="Q231" s="3">
        <f t="shared" si="35"/>
        <v>0.51930522619998221</v>
      </c>
    </row>
    <row r="232" spans="1:17" x14ac:dyDescent="0.3">
      <c r="A232" s="1" t="s">
        <v>235</v>
      </c>
      <c r="B232">
        <v>2508.1970000000001</v>
      </c>
      <c r="C232">
        <v>3255.0059999999999</v>
      </c>
      <c r="D232">
        <v>3255.0059999999999</v>
      </c>
      <c r="E232">
        <v>3255.0059999999999</v>
      </c>
      <c r="G232" s="2">
        <f t="shared" si="27"/>
        <v>0</v>
      </c>
      <c r="H232" s="2">
        <f t="shared" si="28"/>
        <v>1</v>
      </c>
      <c r="I232" s="2">
        <f t="shared" si="29"/>
        <v>1</v>
      </c>
      <c r="J232" s="2"/>
      <c r="K232" s="2">
        <f t="shared" si="30"/>
        <v>1</v>
      </c>
      <c r="L232" s="2">
        <f t="shared" si="31"/>
        <v>0</v>
      </c>
      <c r="M232" s="2">
        <f t="shared" si="32"/>
        <v>1</v>
      </c>
      <c r="O232" s="3">
        <f t="shared" si="33"/>
        <v>0.77056601431763883</v>
      </c>
      <c r="P232" s="3">
        <f t="shared" si="34"/>
        <v>1</v>
      </c>
      <c r="Q232" s="3">
        <f t="shared" si="35"/>
        <v>0.77056601431763883</v>
      </c>
    </row>
    <row r="233" spans="1:17" x14ac:dyDescent="0.3">
      <c r="A233" s="1" t="s">
        <v>236</v>
      </c>
      <c r="B233">
        <v>2709.46</v>
      </c>
      <c r="C233">
        <v>4016.9949999999999</v>
      </c>
      <c r="D233">
        <v>4016.9949999999999</v>
      </c>
      <c r="E233">
        <v>4016.9949999999999</v>
      </c>
      <c r="G233" s="2">
        <f t="shared" si="27"/>
        <v>0</v>
      </c>
      <c r="H233" s="2">
        <f t="shared" si="28"/>
        <v>1</v>
      </c>
      <c r="I233" s="2">
        <f t="shared" si="29"/>
        <v>1</v>
      </c>
      <c r="J233" s="2"/>
      <c r="K233" s="2">
        <f t="shared" si="30"/>
        <v>1</v>
      </c>
      <c r="L233" s="2">
        <f t="shared" si="31"/>
        <v>0</v>
      </c>
      <c r="M233" s="2">
        <f t="shared" si="32"/>
        <v>1</v>
      </c>
      <c r="O233" s="3">
        <f t="shared" si="33"/>
        <v>0.67449922143293684</v>
      </c>
      <c r="P233" s="3">
        <f t="shared" si="34"/>
        <v>1</v>
      </c>
      <c r="Q233" s="3">
        <f t="shared" si="35"/>
        <v>0.67449922143293684</v>
      </c>
    </row>
    <row r="234" spans="1:17" x14ac:dyDescent="0.3">
      <c r="A234" s="1" t="s">
        <v>237</v>
      </c>
      <c r="B234">
        <v>2172.3809999999999</v>
      </c>
      <c r="C234">
        <v>2586.0010000000002</v>
      </c>
      <c r="D234">
        <v>2586.0010000000002</v>
      </c>
      <c r="E234">
        <v>2586.0010000000002</v>
      </c>
      <c r="G234" s="2">
        <f t="shared" si="27"/>
        <v>0</v>
      </c>
      <c r="H234" s="2">
        <f t="shared" si="28"/>
        <v>1</v>
      </c>
      <c r="I234" s="2">
        <f t="shared" si="29"/>
        <v>1</v>
      </c>
      <c r="J234" s="2"/>
      <c r="K234" s="2">
        <f t="shared" si="30"/>
        <v>1</v>
      </c>
      <c r="L234" s="2">
        <f t="shared" si="31"/>
        <v>0</v>
      </c>
      <c r="M234" s="2">
        <f t="shared" si="32"/>
        <v>1</v>
      </c>
      <c r="O234" s="3">
        <f t="shared" si="33"/>
        <v>0.84005419951500393</v>
      </c>
      <c r="P234" s="3">
        <f t="shared" si="34"/>
        <v>1</v>
      </c>
      <c r="Q234" s="3">
        <f t="shared" si="35"/>
        <v>0.84005419951500393</v>
      </c>
    </row>
    <row r="235" spans="1:17" x14ac:dyDescent="0.3">
      <c r="A235" s="1" t="s">
        <v>238</v>
      </c>
      <c r="B235">
        <v>1932.635</v>
      </c>
      <c r="C235">
        <v>2476.0010000000002</v>
      </c>
      <c r="D235">
        <v>2476.0010000000002</v>
      </c>
      <c r="E235">
        <v>2476.0010000000002</v>
      </c>
      <c r="G235" s="2">
        <f t="shared" si="27"/>
        <v>0</v>
      </c>
      <c r="H235" s="2">
        <f t="shared" si="28"/>
        <v>1</v>
      </c>
      <c r="I235" s="2">
        <f t="shared" si="29"/>
        <v>1</v>
      </c>
      <c r="J235" s="2"/>
      <c r="K235" s="2">
        <f t="shared" si="30"/>
        <v>1</v>
      </c>
      <c r="L235" s="2">
        <f t="shared" si="31"/>
        <v>0</v>
      </c>
      <c r="M235" s="2">
        <f t="shared" si="32"/>
        <v>1</v>
      </c>
      <c r="O235" s="3">
        <f t="shared" si="33"/>
        <v>0.7805469383897663</v>
      </c>
      <c r="P235" s="3">
        <f t="shared" si="34"/>
        <v>1</v>
      </c>
      <c r="Q235" s="3">
        <f t="shared" si="35"/>
        <v>0.7805469383897663</v>
      </c>
    </row>
    <row r="236" spans="1:17" x14ac:dyDescent="0.3">
      <c r="A236" s="1" t="s">
        <v>239</v>
      </c>
      <c r="B236">
        <v>4066.9969999999998</v>
      </c>
      <c r="C236">
        <v>4066.9969999999998</v>
      </c>
      <c r="D236">
        <v>4066.9969999999998</v>
      </c>
      <c r="E236">
        <v>4066.9969999999998</v>
      </c>
      <c r="G236" s="2">
        <f t="shared" si="27"/>
        <v>1</v>
      </c>
      <c r="H236" s="2">
        <f t="shared" si="28"/>
        <v>1</v>
      </c>
      <c r="I236" s="2">
        <f t="shared" si="29"/>
        <v>1</v>
      </c>
      <c r="J236" s="2"/>
      <c r="K236" s="2">
        <f t="shared" si="30"/>
        <v>0</v>
      </c>
      <c r="L236" s="2">
        <f t="shared" si="31"/>
        <v>0</v>
      </c>
      <c r="M236" s="2">
        <f t="shared" si="32"/>
        <v>0</v>
      </c>
      <c r="O236" s="3">
        <f t="shared" si="33"/>
        <v>1</v>
      </c>
      <c r="P236" s="3">
        <f t="shared" si="34"/>
        <v>1</v>
      </c>
      <c r="Q236" s="3">
        <f t="shared" si="35"/>
        <v>1</v>
      </c>
    </row>
    <row r="237" spans="1:17" x14ac:dyDescent="0.3">
      <c r="A237" s="1" t="s">
        <v>240</v>
      </c>
      <c r="B237">
        <v>932.05499999999995</v>
      </c>
      <c r="C237">
        <v>1376.338</v>
      </c>
      <c r="D237">
        <v>2226</v>
      </c>
      <c r="E237">
        <v>2226</v>
      </c>
      <c r="G237" s="2">
        <f t="shared" si="27"/>
        <v>0</v>
      </c>
      <c r="H237" s="2">
        <f t="shared" si="28"/>
        <v>0</v>
      </c>
      <c r="I237" s="2">
        <f t="shared" si="29"/>
        <v>1</v>
      </c>
      <c r="J237" s="2"/>
      <c r="K237" s="2">
        <f t="shared" si="30"/>
        <v>1</v>
      </c>
      <c r="L237" s="2">
        <f t="shared" si="31"/>
        <v>1</v>
      </c>
      <c r="M237" s="2">
        <f t="shared" si="32"/>
        <v>1</v>
      </c>
      <c r="O237" s="3">
        <f t="shared" si="33"/>
        <v>0.67719920542773648</v>
      </c>
      <c r="P237" s="3">
        <f t="shared" si="34"/>
        <v>0.61830098831985625</v>
      </c>
      <c r="Q237" s="3">
        <f t="shared" si="35"/>
        <v>0.41871293800539083</v>
      </c>
    </row>
    <row r="238" spans="1:17" x14ac:dyDescent="0.3">
      <c r="A238" s="1" t="s">
        <v>241</v>
      </c>
      <c r="B238">
        <v>1717.394</v>
      </c>
      <c r="C238">
        <v>2472.5030000000002</v>
      </c>
      <c r="D238">
        <v>2687.0059999999999</v>
      </c>
      <c r="E238">
        <v>2687.0059999999999</v>
      </c>
      <c r="G238" s="2">
        <f t="shared" si="27"/>
        <v>0</v>
      </c>
      <c r="H238" s="2">
        <f t="shared" si="28"/>
        <v>0</v>
      </c>
      <c r="I238" s="2">
        <f t="shared" si="29"/>
        <v>1</v>
      </c>
      <c r="J238" s="2"/>
      <c r="K238" s="2">
        <f t="shared" si="30"/>
        <v>1</v>
      </c>
      <c r="L238" s="2">
        <f t="shared" si="31"/>
        <v>1</v>
      </c>
      <c r="M238" s="2">
        <f t="shared" si="32"/>
        <v>1</v>
      </c>
      <c r="O238" s="3">
        <f t="shared" si="33"/>
        <v>0.69459733719231076</v>
      </c>
      <c r="P238" s="3">
        <f t="shared" si="34"/>
        <v>0.92017025641178329</v>
      </c>
      <c r="Q238" s="3">
        <f t="shared" si="35"/>
        <v>0.63914780986719055</v>
      </c>
    </row>
    <row r="239" spans="1:17" x14ac:dyDescent="0.3">
      <c r="A239" s="1" t="s">
        <v>242</v>
      </c>
      <c r="B239">
        <v>2712.1489999999999</v>
      </c>
      <c r="C239">
        <v>3151.0010000000002</v>
      </c>
      <c r="D239">
        <v>3151.0010000000002</v>
      </c>
      <c r="E239">
        <v>3151.0010000000002</v>
      </c>
      <c r="G239" s="2">
        <f t="shared" si="27"/>
        <v>0</v>
      </c>
      <c r="H239" s="2">
        <f t="shared" si="28"/>
        <v>1</v>
      </c>
      <c r="I239" s="2">
        <f t="shared" si="29"/>
        <v>1</v>
      </c>
      <c r="J239" s="2"/>
      <c r="K239" s="2">
        <f t="shared" si="30"/>
        <v>1</v>
      </c>
      <c r="L239" s="2">
        <f t="shared" si="31"/>
        <v>0</v>
      </c>
      <c r="M239" s="2">
        <f t="shared" si="32"/>
        <v>1</v>
      </c>
      <c r="O239" s="3">
        <f t="shared" si="33"/>
        <v>0.86072616289236337</v>
      </c>
      <c r="P239" s="3">
        <f t="shared" si="34"/>
        <v>1</v>
      </c>
      <c r="Q239" s="3">
        <f t="shared" si="35"/>
        <v>0.86072616289236337</v>
      </c>
    </row>
    <row r="240" spans="1:17" x14ac:dyDescent="0.3">
      <c r="A240" s="1" t="s">
        <v>243</v>
      </c>
      <c r="B240">
        <v>2700.3710000000001</v>
      </c>
      <c r="C240">
        <v>2705</v>
      </c>
      <c r="D240">
        <v>2705</v>
      </c>
      <c r="E240">
        <v>2705</v>
      </c>
      <c r="G240" s="2">
        <f t="shared" si="27"/>
        <v>0</v>
      </c>
      <c r="H240" s="2">
        <f t="shared" si="28"/>
        <v>1</v>
      </c>
      <c r="I240" s="2">
        <f t="shared" si="29"/>
        <v>1</v>
      </c>
      <c r="J240" s="2"/>
      <c r="K240" s="2">
        <f t="shared" si="30"/>
        <v>1</v>
      </c>
      <c r="L240" s="2">
        <f t="shared" si="31"/>
        <v>0</v>
      </c>
      <c r="M240" s="2">
        <f t="shared" si="32"/>
        <v>1</v>
      </c>
      <c r="O240" s="3">
        <f t="shared" si="33"/>
        <v>0.99828872458410356</v>
      </c>
      <c r="P240" s="3">
        <f t="shared" si="34"/>
        <v>1</v>
      </c>
      <c r="Q240" s="3">
        <f t="shared" si="35"/>
        <v>0.99828872458410356</v>
      </c>
    </row>
    <row r="241" spans="1:17" x14ac:dyDescent="0.3">
      <c r="A241" s="1" t="s">
        <v>244</v>
      </c>
      <c r="B241">
        <v>2310.998</v>
      </c>
      <c r="C241">
        <v>2310.998</v>
      </c>
      <c r="D241">
        <v>2310.998</v>
      </c>
      <c r="E241">
        <v>2310.998</v>
      </c>
      <c r="G241" s="2">
        <f t="shared" si="27"/>
        <v>1</v>
      </c>
      <c r="H241" s="2">
        <f t="shared" si="28"/>
        <v>1</v>
      </c>
      <c r="I241" s="2">
        <f t="shared" si="29"/>
        <v>1</v>
      </c>
      <c r="J241" s="2"/>
      <c r="K241" s="2">
        <f t="shared" si="30"/>
        <v>0</v>
      </c>
      <c r="L241" s="2">
        <f t="shared" si="31"/>
        <v>0</v>
      </c>
      <c r="M241" s="2">
        <f t="shared" si="32"/>
        <v>0</v>
      </c>
      <c r="O241" s="3">
        <f t="shared" si="33"/>
        <v>1</v>
      </c>
      <c r="P241" s="3">
        <f t="shared" si="34"/>
        <v>1</v>
      </c>
      <c r="Q241" s="3">
        <f t="shared" si="35"/>
        <v>1</v>
      </c>
    </row>
    <row r="242" spans="1:17" x14ac:dyDescent="0.3">
      <c r="A242" s="1" t="s">
        <v>245</v>
      </c>
      <c r="B242">
        <v>1757.45</v>
      </c>
      <c r="C242">
        <v>2145.0010000000002</v>
      </c>
      <c r="D242">
        <v>2145.0010000000002</v>
      </c>
      <c r="E242">
        <v>2145.0010000000002</v>
      </c>
      <c r="G242" s="2">
        <f t="shared" si="27"/>
        <v>0</v>
      </c>
      <c r="H242" s="2">
        <f t="shared" si="28"/>
        <v>1</v>
      </c>
      <c r="I242" s="2">
        <f t="shared" si="29"/>
        <v>1</v>
      </c>
      <c r="J242" s="2"/>
      <c r="K242" s="2">
        <f t="shared" si="30"/>
        <v>1</v>
      </c>
      <c r="L242" s="2">
        <f t="shared" si="31"/>
        <v>0</v>
      </c>
      <c r="M242" s="2">
        <f t="shared" si="32"/>
        <v>1</v>
      </c>
      <c r="O242" s="3">
        <f t="shared" si="33"/>
        <v>0.81932362735495223</v>
      </c>
      <c r="P242" s="3">
        <f t="shared" si="34"/>
        <v>1</v>
      </c>
      <c r="Q242" s="3">
        <f t="shared" si="35"/>
        <v>0.81932362735495223</v>
      </c>
    </row>
    <row r="243" spans="1:17" x14ac:dyDescent="0.3">
      <c r="A243" s="1" t="s">
        <v>246</v>
      </c>
      <c r="B243">
        <v>585.16899999999998</v>
      </c>
      <c r="C243">
        <v>791.00099999999998</v>
      </c>
      <c r="D243">
        <v>791.00099999999998</v>
      </c>
      <c r="E243">
        <v>791.00099999999998</v>
      </c>
      <c r="G243" s="2">
        <f t="shared" si="27"/>
        <v>0</v>
      </c>
      <c r="H243" s="2">
        <f t="shared" si="28"/>
        <v>1</v>
      </c>
      <c r="I243" s="2">
        <f t="shared" si="29"/>
        <v>1</v>
      </c>
      <c r="J243" s="2"/>
      <c r="K243" s="2">
        <f t="shared" si="30"/>
        <v>1</v>
      </c>
      <c r="L243" s="2">
        <f t="shared" si="31"/>
        <v>0</v>
      </c>
      <c r="M243" s="2">
        <f t="shared" si="32"/>
        <v>1</v>
      </c>
      <c r="O243" s="3">
        <f t="shared" si="33"/>
        <v>0.73978288270179182</v>
      </c>
      <c r="P243" s="3">
        <f t="shared" si="34"/>
        <v>1</v>
      </c>
      <c r="Q243" s="3">
        <f t="shared" si="35"/>
        <v>0.73978288270179182</v>
      </c>
    </row>
    <row r="244" spans="1:17" x14ac:dyDescent="0.3">
      <c r="A244" s="1" t="s">
        <v>247</v>
      </c>
      <c r="B244">
        <v>2850.2049999999999</v>
      </c>
      <c r="C244">
        <v>3674.0039999999999</v>
      </c>
      <c r="D244">
        <v>3674.0039999999999</v>
      </c>
      <c r="E244">
        <v>3674.0039999999999</v>
      </c>
      <c r="G244" s="2">
        <f t="shared" si="27"/>
        <v>0</v>
      </c>
      <c r="H244" s="2">
        <f t="shared" si="28"/>
        <v>1</v>
      </c>
      <c r="I244" s="2">
        <f t="shared" si="29"/>
        <v>1</v>
      </c>
      <c r="J244" s="2"/>
      <c r="K244" s="2">
        <f t="shared" si="30"/>
        <v>1</v>
      </c>
      <c r="L244" s="2">
        <f t="shared" si="31"/>
        <v>0</v>
      </c>
      <c r="M244" s="2">
        <f t="shared" si="32"/>
        <v>1</v>
      </c>
      <c r="O244" s="3">
        <f t="shared" si="33"/>
        <v>0.77577623758711201</v>
      </c>
      <c r="P244" s="3">
        <f t="shared" si="34"/>
        <v>1</v>
      </c>
      <c r="Q244" s="3">
        <f t="shared" si="35"/>
        <v>0.77577623758711201</v>
      </c>
    </row>
    <row r="245" spans="1:17" x14ac:dyDescent="0.3">
      <c r="A245" s="1" t="s">
        <v>248</v>
      </c>
      <c r="B245">
        <v>2140.748</v>
      </c>
      <c r="C245">
        <v>3334.0709999999999</v>
      </c>
      <c r="D245">
        <v>3934.002</v>
      </c>
      <c r="E245">
        <v>3934.002</v>
      </c>
      <c r="G245" s="2">
        <f t="shared" si="27"/>
        <v>0</v>
      </c>
      <c r="H245" s="2">
        <f t="shared" si="28"/>
        <v>0</v>
      </c>
      <c r="I245" s="2">
        <f t="shared" si="29"/>
        <v>1</v>
      </c>
      <c r="J245" s="2"/>
      <c r="K245" s="2">
        <f t="shared" si="30"/>
        <v>1</v>
      </c>
      <c r="L245" s="2">
        <f t="shared" si="31"/>
        <v>1</v>
      </c>
      <c r="M245" s="2">
        <f t="shared" si="32"/>
        <v>1</v>
      </c>
      <c r="O245" s="3">
        <f t="shared" si="33"/>
        <v>0.64208230718541992</v>
      </c>
      <c r="P245" s="3">
        <f t="shared" si="34"/>
        <v>0.84750109430549347</v>
      </c>
      <c r="Q245" s="3">
        <f t="shared" si="35"/>
        <v>0.54416545797383942</v>
      </c>
    </row>
    <row r="246" spans="1:17" x14ac:dyDescent="0.3">
      <c r="A246" s="1" t="s">
        <v>249</v>
      </c>
      <c r="B246">
        <v>2663.1010000000001</v>
      </c>
      <c r="C246">
        <v>3206.0010000000002</v>
      </c>
      <c r="D246">
        <v>3206.0010000000002</v>
      </c>
      <c r="E246">
        <v>3206.0010000000002</v>
      </c>
      <c r="G246" s="2">
        <f t="shared" si="27"/>
        <v>0</v>
      </c>
      <c r="H246" s="2">
        <f t="shared" si="28"/>
        <v>1</v>
      </c>
      <c r="I246" s="2">
        <f t="shared" si="29"/>
        <v>1</v>
      </c>
      <c r="J246" s="2"/>
      <c r="K246" s="2">
        <f t="shared" si="30"/>
        <v>1</v>
      </c>
      <c r="L246" s="2">
        <f t="shared" si="31"/>
        <v>0</v>
      </c>
      <c r="M246" s="2">
        <f t="shared" si="32"/>
        <v>1</v>
      </c>
      <c r="O246" s="3">
        <f t="shared" si="33"/>
        <v>0.83066131295654611</v>
      </c>
      <c r="P246" s="3">
        <f t="shared" si="34"/>
        <v>1</v>
      </c>
      <c r="Q246" s="3">
        <f t="shared" si="35"/>
        <v>0.83066131295654611</v>
      </c>
    </row>
    <row r="247" spans="1:17" x14ac:dyDescent="0.3">
      <c r="A247" s="1" t="s">
        <v>250</v>
      </c>
      <c r="B247">
        <v>1928.556</v>
      </c>
      <c r="C247">
        <v>2032.9970000000001</v>
      </c>
      <c r="D247">
        <v>2032.9970000000001</v>
      </c>
      <c r="E247">
        <v>2032.9970000000001</v>
      </c>
      <c r="G247" s="2">
        <f t="shared" si="27"/>
        <v>0</v>
      </c>
      <c r="H247" s="2">
        <f t="shared" si="28"/>
        <v>1</v>
      </c>
      <c r="I247" s="2">
        <f t="shared" si="29"/>
        <v>1</v>
      </c>
      <c r="J247" s="2"/>
      <c r="K247" s="2">
        <f t="shared" si="30"/>
        <v>1</v>
      </c>
      <c r="L247" s="2">
        <f t="shared" si="31"/>
        <v>0</v>
      </c>
      <c r="M247" s="2">
        <f t="shared" si="32"/>
        <v>1</v>
      </c>
      <c r="O247" s="3">
        <f t="shared" si="33"/>
        <v>0.94862707618358511</v>
      </c>
      <c r="P247" s="3">
        <f t="shared" si="34"/>
        <v>1</v>
      </c>
      <c r="Q247" s="3">
        <f t="shared" si="35"/>
        <v>0.94862707618358511</v>
      </c>
    </row>
    <row r="248" spans="1:17" x14ac:dyDescent="0.3">
      <c r="A248" s="1" t="s">
        <v>251</v>
      </c>
      <c r="B248">
        <v>1966.8030000000001</v>
      </c>
      <c r="C248">
        <v>2504</v>
      </c>
      <c r="D248">
        <v>2504</v>
      </c>
      <c r="E248">
        <v>2504</v>
      </c>
      <c r="G248" s="2">
        <f t="shared" si="27"/>
        <v>0</v>
      </c>
      <c r="H248" s="2">
        <f t="shared" si="28"/>
        <v>1</v>
      </c>
      <c r="I248" s="2">
        <f t="shared" si="29"/>
        <v>1</v>
      </c>
      <c r="J248" s="2"/>
      <c r="K248" s="2">
        <f t="shared" si="30"/>
        <v>1</v>
      </c>
      <c r="L248" s="2">
        <f t="shared" si="31"/>
        <v>0</v>
      </c>
      <c r="M248" s="2">
        <f t="shared" si="32"/>
        <v>1</v>
      </c>
      <c r="O248" s="3">
        <f t="shared" si="33"/>
        <v>0.78546445686900968</v>
      </c>
      <c r="P248" s="3">
        <f t="shared" si="34"/>
        <v>1</v>
      </c>
      <c r="Q248" s="3">
        <f t="shared" si="35"/>
        <v>0.78546445686900968</v>
      </c>
    </row>
    <row r="249" spans="1:17" x14ac:dyDescent="0.3">
      <c r="A249" s="1" t="s">
        <v>252</v>
      </c>
      <c r="B249">
        <v>1563.8820000000001</v>
      </c>
      <c r="C249">
        <v>2242.2040000000002</v>
      </c>
      <c r="D249">
        <v>2578.9380000000001</v>
      </c>
      <c r="E249">
        <v>3062.0010000000002</v>
      </c>
      <c r="G249" s="2">
        <f t="shared" si="27"/>
        <v>0</v>
      </c>
      <c r="H249" s="2">
        <f t="shared" si="28"/>
        <v>0</v>
      </c>
      <c r="I249" s="2">
        <f t="shared" si="29"/>
        <v>0</v>
      </c>
      <c r="J249" s="2"/>
      <c r="K249" s="2">
        <f t="shared" si="30"/>
        <v>1</v>
      </c>
      <c r="L249" s="2">
        <f t="shared" si="31"/>
        <v>1</v>
      </c>
      <c r="M249" s="2">
        <f t="shared" si="32"/>
        <v>1</v>
      </c>
      <c r="O249" s="3">
        <f t="shared" si="33"/>
        <v>0.69747534122675725</v>
      </c>
      <c r="P249" s="3">
        <f t="shared" si="34"/>
        <v>0.86942919915096839</v>
      </c>
      <c r="Q249" s="3">
        <f t="shared" si="35"/>
        <v>0.60640542735032787</v>
      </c>
    </row>
    <row r="250" spans="1:17" x14ac:dyDescent="0.3">
      <c r="A250" s="1" t="s">
        <v>253</v>
      </c>
      <c r="B250">
        <v>1180.075</v>
      </c>
      <c r="C250">
        <v>1897.5260000000001</v>
      </c>
      <c r="D250">
        <v>2566.002</v>
      </c>
      <c r="E250">
        <v>2566.002</v>
      </c>
      <c r="G250" s="2">
        <f t="shared" si="27"/>
        <v>0</v>
      </c>
      <c r="H250" s="2">
        <f t="shared" si="28"/>
        <v>0</v>
      </c>
      <c r="I250" s="2">
        <f t="shared" si="29"/>
        <v>1</v>
      </c>
      <c r="J250" s="2"/>
      <c r="K250" s="2">
        <f t="shared" si="30"/>
        <v>1</v>
      </c>
      <c r="L250" s="2">
        <f t="shared" si="31"/>
        <v>1</v>
      </c>
      <c r="M250" s="2">
        <f t="shared" si="32"/>
        <v>1</v>
      </c>
      <c r="O250" s="3">
        <f t="shared" si="33"/>
        <v>0.62190188698336679</v>
      </c>
      <c r="P250" s="3">
        <f t="shared" si="34"/>
        <v>0.73948734256637372</v>
      </c>
      <c r="Q250" s="3">
        <f t="shared" si="35"/>
        <v>0.45988857374234315</v>
      </c>
    </row>
    <row r="251" spans="1:17" x14ac:dyDescent="0.3">
      <c r="A251" s="1" t="s">
        <v>254</v>
      </c>
      <c r="B251">
        <v>1484.529</v>
      </c>
      <c r="C251">
        <v>2382.5889999999999</v>
      </c>
      <c r="D251">
        <v>2382.5889999999999</v>
      </c>
      <c r="E251">
        <v>2449.0030000000002</v>
      </c>
      <c r="G251" s="2">
        <f t="shared" si="27"/>
        <v>0</v>
      </c>
      <c r="H251" s="2">
        <f t="shared" si="28"/>
        <v>0</v>
      </c>
      <c r="I251" s="2">
        <f t="shared" si="29"/>
        <v>0</v>
      </c>
      <c r="J251" s="2"/>
      <c r="K251" s="2">
        <f t="shared" si="30"/>
        <v>1</v>
      </c>
      <c r="L251" s="2">
        <f t="shared" si="31"/>
        <v>0</v>
      </c>
      <c r="M251" s="2">
        <f t="shared" si="32"/>
        <v>1</v>
      </c>
      <c r="O251" s="3">
        <f t="shared" si="33"/>
        <v>0.62307389146848235</v>
      </c>
      <c r="P251" s="3">
        <f t="shared" si="34"/>
        <v>1</v>
      </c>
      <c r="Q251" s="3">
        <f t="shared" si="35"/>
        <v>0.62307389146848235</v>
      </c>
    </row>
    <row r="252" spans="1:17" x14ac:dyDescent="0.3">
      <c r="A252" s="1" t="s">
        <v>255</v>
      </c>
      <c r="B252">
        <v>1699.001</v>
      </c>
      <c r="C252">
        <v>1699.001</v>
      </c>
      <c r="D252">
        <v>1699.001</v>
      </c>
      <c r="E252">
        <v>1699.001</v>
      </c>
      <c r="G252" s="2">
        <f t="shared" si="27"/>
        <v>1</v>
      </c>
      <c r="H252" s="2">
        <f t="shared" si="28"/>
        <v>1</v>
      </c>
      <c r="I252" s="2">
        <f t="shared" si="29"/>
        <v>1</v>
      </c>
      <c r="J252" s="2"/>
      <c r="K252" s="2">
        <f t="shared" si="30"/>
        <v>0</v>
      </c>
      <c r="L252" s="2">
        <f t="shared" si="31"/>
        <v>0</v>
      </c>
      <c r="M252" s="2">
        <f t="shared" si="32"/>
        <v>0</v>
      </c>
      <c r="O252" s="3">
        <f t="shared" si="33"/>
        <v>1</v>
      </c>
      <c r="P252" s="3">
        <f t="shared" si="34"/>
        <v>1</v>
      </c>
      <c r="Q252" s="3">
        <f t="shared" si="35"/>
        <v>1</v>
      </c>
    </row>
    <row r="253" spans="1:17" x14ac:dyDescent="0.3">
      <c r="A253" s="1" t="s">
        <v>256</v>
      </c>
      <c r="B253">
        <v>1566.289</v>
      </c>
      <c r="C253">
        <v>2309.2040000000002</v>
      </c>
      <c r="D253">
        <v>2915.0030000000002</v>
      </c>
      <c r="E253">
        <v>2915.0030000000002</v>
      </c>
      <c r="G253" s="2">
        <f t="shared" si="27"/>
        <v>0</v>
      </c>
      <c r="H253" s="2">
        <f t="shared" si="28"/>
        <v>0</v>
      </c>
      <c r="I253" s="2">
        <f t="shared" si="29"/>
        <v>1</v>
      </c>
      <c r="J253" s="2"/>
      <c r="K253" s="2">
        <f t="shared" si="30"/>
        <v>1</v>
      </c>
      <c r="L253" s="2">
        <f t="shared" si="31"/>
        <v>1</v>
      </c>
      <c r="M253" s="2">
        <f t="shared" si="32"/>
        <v>1</v>
      </c>
      <c r="O253" s="3">
        <f t="shared" si="33"/>
        <v>0.67828091411585978</v>
      </c>
      <c r="P253" s="3">
        <f t="shared" si="34"/>
        <v>0.79217894458427662</v>
      </c>
      <c r="Q253" s="3">
        <f t="shared" si="35"/>
        <v>0.53731985867596022</v>
      </c>
    </row>
    <row r="254" spans="1:17" x14ac:dyDescent="0.3">
      <c r="A254" s="1" t="s">
        <v>257</v>
      </c>
      <c r="B254">
        <v>2012.6690000000001</v>
      </c>
      <c r="C254">
        <v>2345.0010000000002</v>
      </c>
      <c r="D254">
        <v>2345.0010000000002</v>
      </c>
      <c r="E254">
        <v>2345.0010000000002</v>
      </c>
      <c r="G254" s="2">
        <f t="shared" si="27"/>
        <v>0</v>
      </c>
      <c r="H254" s="2">
        <f t="shared" si="28"/>
        <v>1</v>
      </c>
      <c r="I254" s="2">
        <f t="shared" si="29"/>
        <v>1</v>
      </c>
      <c r="J254" s="2"/>
      <c r="K254" s="2">
        <f t="shared" si="30"/>
        <v>1</v>
      </c>
      <c r="L254" s="2">
        <f t="shared" si="31"/>
        <v>0</v>
      </c>
      <c r="M254" s="2">
        <f t="shared" si="32"/>
        <v>1</v>
      </c>
      <c r="O254" s="3">
        <f t="shared" si="33"/>
        <v>0.85828065744961302</v>
      </c>
      <c r="P254" s="3">
        <f t="shared" si="34"/>
        <v>1</v>
      </c>
      <c r="Q254" s="3">
        <f t="shared" si="35"/>
        <v>0.85828065744961302</v>
      </c>
    </row>
    <row r="255" spans="1:17" x14ac:dyDescent="0.3">
      <c r="A255" s="1" t="s">
        <v>258</v>
      </c>
      <c r="B255">
        <v>2475.4870000000001</v>
      </c>
      <c r="C255">
        <v>2556.9989999999998</v>
      </c>
      <c r="D255">
        <v>2556.9989999999998</v>
      </c>
      <c r="E255">
        <v>2556.9989999999998</v>
      </c>
      <c r="G255" s="2">
        <f t="shared" si="27"/>
        <v>0</v>
      </c>
      <c r="H255" s="2">
        <f t="shared" si="28"/>
        <v>1</v>
      </c>
      <c r="I255" s="2">
        <f t="shared" si="29"/>
        <v>1</v>
      </c>
      <c r="J255" s="2"/>
      <c r="K255" s="2">
        <f t="shared" si="30"/>
        <v>1</v>
      </c>
      <c r="L255" s="2">
        <f t="shared" si="31"/>
        <v>0</v>
      </c>
      <c r="M255" s="2">
        <f t="shared" si="32"/>
        <v>1</v>
      </c>
      <c r="O255" s="3">
        <f t="shared" si="33"/>
        <v>0.96812200552288064</v>
      </c>
      <c r="P255" s="3">
        <f t="shared" si="34"/>
        <v>1</v>
      </c>
      <c r="Q255" s="3">
        <f t="shared" si="35"/>
        <v>0.96812200552288064</v>
      </c>
    </row>
    <row r="256" spans="1:17" x14ac:dyDescent="0.3">
      <c r="A256" s="1" t="s">
        <v>259</v>
      </c>
      <c r="B256">
        <v>2037.444</v>
      </c>
      <c r="C256">
        <v>2625.0030000000002</v>
      </c>
      <c r="D256">
        <v>2625.0030000000002</v>
      </c>
      <c r="E256">
        <v>2625.0030000000002</v>
      </c>
      <c r="G256" s="2">
        <f t="shared" si="27"/>
        <v>0</v>
      </c>
      <c r="H256" s="2">
        <f t="shared" si="28"/>
        <v>1</v>
      </c>
      <c r="I256" s="2">
        <f t="shared" si="29"/>
        <v>1</v>
      </c>
      <c r="J256" s="2"/>
      <c r="K256" s="2">
        <f t="shared" si="30"/>
        <v>1</v>
      </c>
      <c r="L256" s="2">
        <f t="shared" si="31"/>
        <v>0</v>
      </c>
      <c r="M256" s="2">
        <f t="shared" si="32"/>
        <v>1</v>
      </c>
      <c r="O256" s="3">
        <f t="shared" si="33"/>
        <v>0.77616825580770754</v>
      </c>
      <c r="P256" s="3">
        <f t="shared" si="34"/>
        <v>1</v>
      </c>
      <c r="Q256" s="3">
        <f t="shared" si="35"/>
        <v>0.77616825580770754</v>
      </c>
    </row>
    <row r="257" spans="1:17" x14ac:dyDescent="0.3">
      <c r="A257" s="1" t="s">
        <v>260</v>
      </c>
      <c r="B257">
        <v>2814.877</v>
      </c>
      <c r="C257">
        <v>3034.9989999999998</v>
      </c>
      <c r="D257">
        <v>3034.9989999999998</v>
      </c>
      <c r="E257">
        <v>3034.9989999999998</v>
      </c>
      <c r="G257" s="2">
        <f t="shared" si="27"/>
        <v>0</v>
      </c>
      <c r="H257" s="2">
        <f t="shared" si="28"/>
        <v>1</v>
      </c>
      <c r="I257" s="2">
        <f t="shared" si="29"/>
        <v>1</v>
      </c>
      <c r="J257" s="2"/>
      <c r="K257" s="2">
        <f t="shared" si="30"/>
        <v>1</v>
      </c>
      <c r="L257" s="2">
        <f t="shared" si="31"/>
        <v>0</v>
      </c>
      <c r="M257" s="2">
        <f t="shared" si="32"/>
        <v>1</v>
      </c>
      <c r="O257" s="3">
        <f t="shared" si="33"/>
        <v>0.92747213425770492</v>
      </c>
      <c r="P257" s="3">
        <f t="shared" si="34"/>
        <v>1</v>
      </c>
      <c r="Q257" s="3">
        <f t="shared" si="35"/>
        <v>0.92747213425770492</v>
      </c>
    </row>
    <row r="258" spans="1:17" x14ac:dyDescent="0.3">
      <c r="A258" s="1" t="s">
        <v>261</v>
      </c>
      <c r="B258">
        <v>6172.0780000000004</v>
      </c>
      <c r="C258">
        <v>6932.009</v>
      </c>
      <c r="D258">
        <v>6932.009</v>
      </c>
      <c r="E258">
        <v>6932.009</v>
      </c>
      <c r="G258" s="2">
        <f t="shared" ref="G258:G323" si="36">IF(B258=E258, 1, 0)</f>
        <v>0</v>
      </c>
      <c r="H258" s="2">
        <f t="shared" ref="H258:H323" si="37">IF(C258=E258, 1, 0)</f>
        <v>1</v>
      </c>
      <c r="I258" s="2">
        <f t="shared" ref="I258:I323" si="38">IF(D258=E258, 1, 0)</f>
        <v>1</v>
      </c>
      <c r="J258" s="2"/>
      <c r="K258" s="2">
        <f t="shared" ref="K258:K323" si="39">IF(B258&lt;C258, 1, 0)</f>
        <v>1</v>
      </c>
      <c r="L258" s="2">
        <f t="shared" ref="L258:L323" si="40">IF(C258&lt;D258, 1, 0)</f>
        <v>0</v>
      </c>
      <c r="M258" s="2">
        <f t="shared" ref="M258:M323" si="41">IF(B258&lt;D258, 1, 0)</f>
        <v>1</v>
      </c>
      <c r="O258" s="3">
        <f t="shared" si="33"/>
        <v>0.89037362761646743</v>
      </c>
      <c r="P258" s="3">
        <f t="shared" si="34"/>
        <v>1</v>
      </c>
      <c r="Q258" s="3">
        <f t="shared" si="35"/>
        <v>0.89037362761646743</v>
      </c>
    </row>
    <row r="259" spans="1:17" x14ac:dyDescent="0.3">
      <c r="A259" s="1" t="s">
        <v>262</v>
      </c>
      <c r="B259">
        <v>4426.6469999999999</v>
      </c>
      <c r="C259">
        <v>5003.0029999999997</v>
      </c>
      <c r="D259">
        <v>5003.0029999999997</v>
      </c>
      <c r="E259">
        <v>5003.0029999999997</v>
      </c>
      <c r="G259" s="2">
        <f t="shared" si="36"/>
        <v>0</v>
      </c>
      <c r="H259" s="2">
        <f t="shared" si="37"/>
        <v>1</v>
      </c>
      <c r="I259" s="2">
        <f t="shared" si="38"/>
        <v>1</v>
      </c>
      <c r="J259" s="2"/>
      <c r="K259" s="2">
        <f t="shared" si="39"/>
        <v>1</v>
      </c>
      <c r="L259" s="2">
        <f t="shared" si="40"/>
        <v>0</v>
      </c>
      <c r="M259" s="2">
        <f t="shared" si="41"/>
        <v>1</v>
      </c>
      <c r="O259" s="3">
        <f t="shared" ref="O259:O322" si="42">IF(B259&lt;C259, B259/C259, 1)</f>
        <v>0.88479799032700968</v>
      </c>
      <c r="P259" s="3">
        <f t="shared" ref="P259:P322" si="43">IF(C259&lt;D259, C259/D259, 1)</f>
        <v>1</v>
      </c>
      <c r="Q259" s="3">
        <f t="shared" ref="Q259:Q322" si="44">IF(B259&lt;D259, B259/D259, 1)</f>
        <v>0.88479799032700968</v>
      </c>
    </row>
    <row r="260" spans="1:17" x14ac:dyDescent="0.3">
      <c r="A260" s="1" t="s">
        <v>263</v>
      </c>
      <c r="B260">
        <v>4888.0010000000002</v>
      </c>
      <c r="C260">
        <v>4888.0010000000002</v>
      </c>
      <c r="D260">
        <v>4888.0010000000002</v>
      </c>
      <c r="E260">
        <v>4888.0010000000002</v>
      </c>
      <c r="G260" s="2">
        <f t="shared" si="36"/>
        <v>1</v>
      </c>
      <c r="H260" s="2">
        <f t="shared" si="37"/>
        <v>1</v>
      </c>
      <c r="I260" s="2">
        <f t="shared" si="38"/>
        <v>1</v>
      </c>
      <c r="J260" s="2"/>
      <c r="K260" s="2">
        <f t="shared" si="39"/>
        <v>0</v>
      </c>
      <c r="L260" s="2">
        <f t="shared" si="40"/>
        <v>0</v>
      </c>
      <c r="M260" s="2">
        <f t="shared" si="41"/>
        <v>0</v>
      </c>
      <c r="O260" s="3">
        <f t="shared" si="42"/>
        <v>1</v>
      </c>
      <c r="P260" s="3">
        <f t="shared" si="43"/>
        <v>1</v>
      </c>
      <c r="Q260" s="3">
        <f t="shared" si="44"/>
        <v>1</v>
      </c>
    </row>
    <row r="261" spans="1:17" x14ac:dyDescent="0.3">
      <c r="A261" s="1" t="s">
        <v>264</v>
      </c>
      <c r="B261">
        <v>2511.1610000000001</v>
      </c>
      <c r="C261">
        <v>3163.9349999999999</v>
      </c>
      <c r="D261">
        <v>4315.9989999999998</v>
      </c>
      <c r="E261">
        <v>4315.9989999999998</v>
      </c>
      <c r="G261" s="2">
        <f t="shared" si="36"/>
        <v>0</v>
      </c>
      <c r="H261" s="2">
        <f t="shared" si="37"/>
        <v>0</v>
      </c>
      <c r="I261" s="2">
        <f t="shared" si="38"/>
        <v>1</v>
      </c>
      <c r="J261" s="2"/>
      <c r="K261" s="2">
        <f t="shared" si="39"/>
        <v>1</v>
      </c>
      <c r="L261" s="2">
        <f t="shared" si="40"/>
        <v>1</v>
      </c>
      <c r="M261" s="2">
        <f t="shared" si="41"/>
        <v>1</v>
      </c>
      <c r="O261" s="3">
        <f t="shared" si="42"/>
        <v>0.79368286643056829</v>
      </c>
      <c r="P261" s="3">
        <f t="shared" si="43"/>
        <v>0.73307130052625136</v>
      </c>
      <c r="Q261" s="3">
        <f t="shared" si="44"/>
        <v>0.58182613109965975</v>
      </c>
    </row>
    <row r="262" spans="1:17" x14ac:dyDescent="0.3">
      <c r="A262" s="1" t="s">
        <v>265</v>
      </c>
      <c r="B262">
        <v>2036.3879999999999</v>
      </c>
      <c r="C262">
        <v>2949.43</v>
      </c>
      <c r="D262">
        <v>2949.43</v>
      </c>
      <c r="E262">
        <v>4005.9969999999998</v>
      </c>
      <c r="G262" s="2">
        <f t="shared" si="36"/>
        <v>0</v>
      </c>
      <c r="H262" s="2">
        <f t="shared" si="37"/>
        <v>0</v>
      </c>
      <c r="I262" s="2">
        <f t="shared" si="38"/>
        <v>0</v>
      </c>
      <c r="J262" s="2"/>
      <c r="K262" s="2">
        <f t="shared" si="39"/>
        <v>1</v>
      </c>
      <c r="L262" s="2">
        <f t="shared" si="40"/>
        <v>0</v>
      </c>
      <c r="M262" s="2">
        <f t="shared" si="41"/>
        <v>1</v>
      </c>
      <c r="O262" s="3">
        <f t="shared" si="42"/>
        <v>0.69043442292239521</v>
      </c>
      <c r="P262" s="3">
        <f t="shared" si="43"/>
        <v>1</v>
      </c>
      <c r="Q262" s="3">
        <f t="shared" si="44"/>
        <v>0.69043442292239521</v>
      </c>
    </row>
    <row r="263" spans="1:17" x14ac:dyDescent="0.3">
      <c r="A263" s="1" t="s">
        <v>266</v>
      </c>
      <c r="B263">
        <v>2944.4479999999999</v>
      </c>
      <c r="C263">
        <v>3924.0430000000001</v>
      </c>
      <c r="D263">
        <v>4615.0029999999997</v>
      </c>
      <c r="E263">
        <v>4615.0029999999997</v>
      </c>
      <c r="G263" s="2">
        <f t="shared" si="36"/>
        <v>0</v>
      </c>
      <c r="H263" s="2">
        <f t="shared" si="37"/>
        <v>0</v>
      </c>
      <c r="I263" s="2">
        <f t="shared" si="38"/>
        <v>1</v>
      </c>
      <c r="J263" s="2"/>
      <c r="K263" s="2">
        <f t="shared" si="39"/>
        <v>1</v>
      </c>
      <c r="L263" s="2">
        <f t="shared" si="40"/>
        <v>1</v>
      </c>
      <c r="M263" s="2">
        <f t="shared" si="41"/>
        <v>1</v>
      </c>
      <c r="O263" s="3">
        <f t="shared" si="42"/>
        <v>0.75036078860501776</v>
      </c>
      <c r="P263" s="3">
        <f t="shared" si="43"/>
        <v>0.85027962061996498</v>
      </c>
      <c r="Q263" s="3">
        <f t="shared" si="44"/>
        <v>0.63801648666317223</v>
      </c>
    </row>
    <row r="264" spans="1:17" x14ac:dyDescent="0.3">
      <c r="A264" s="1" t="s">
        <v>267</v>
      </c>
      <c r="B264">
        <v>3130.7640000000001</v>
      </c>
      <c r="C264">
        <v>4503.74</v>
      </c>
      <c r="D264">
        <v>4942.0029999999997</v>
      </c>
      <c r="E264">
        <v>4942.0029999999997</v>
      </c>
      <c r="G264" s="2">
        <f t="shared" si="36"/>
        <v>0</v>
      </c>
      <c r="H264" s="2">
        <f t="shared" si="37"/>
        <v>0</v>
      </c>
      <c r="I264" s="2">
        <f t="shared" si="38"/>
        <v>1</v>
      </c>
      <c r="J264" s="2"/>
      <c r="K264" s="2">
        <f t="shared" si="39"/>
        <v>1</v>
      </c>
      <c r="L264" s="2">
        <f t="shared" si="40"/>
        <v>1</v>
      </c>
      <c r="M264" s="2">
        <f t="shared" si="41"/>
        <v>1</v>
      </c>
      <c r="O264" s="3">
        <f t="shared" si="42"/>
        <v>0.69514758844871161</v>
      </c>
      <c r="P264" s="3">
        <f t="shared" si="43"/>
        <v>0.91131875071706758</v>
      </c>
      <c r="Q264" s="3">
        <f t="shared" si="44"/>
        <v>0.63350103186906204</v>
      </c>
    </row>
    <row r="265" spans="1:17" x14ac:dyDescent="0.3">
      <c r="A265" s="1" t="s">
        <v>268</v>
      </c>
      <c r="B265">
        <v>2897.152</v>
      </c>
      <c r="C265">
        <v>4519.0119999999997</v>
      </c>
      <c r="D265">
        <v>4519.0119999999997</v>
      </c>
      <c r="E265">
        <v>4519.0119999999997</v>
      </c>
      <c r="G265" s="2">
        <f t="shared" si="36"/>
        <v>0</v>
      </c>
      <c r="H265" s="2">
        <f t="shared" si="37"/>
        <v>1</v>
      </c>
      <c r="I265" s="2">
        <f t="shared" si="38"/>
        <v>1</v>
      </c>
      <c r="J265" s="2"/>
      <c r="K265" s="2">
        <f t="shared" si="39"/>
        <v>1</v>
      </c>
      <c r="L265" s="2">
        <f t="shared" si="40"/>
        <v>0</v>
      </c>
      <c r="M265" s="2">
        <f t="shared" si="41"/>
        <v>1</v>
      </c>
      <c r="O265" s="3">
        <f t="shared" si="42"/>
        <v>0.64110296675468004</v>
      </c>
      <c r="P265" s="3">
        <f t="shared" si="43"/>
        <v>1</v>
      </c>
      <c r="Q265" s="3">
        <f t="shared" si="44"/>
        <v>0.64110296675468004</v>
      </c>
    </row>
    <row r="266" spans="1:17" x14ac:dyDescent="0.3">
      <c r="A266" s="1" t="s">
        <v>269</v>
      </c>
      <c r="B266">
        <v>2345.6550000000002</v>
      </c>
      <c r="C266">
        <v>3380.3870000000002</v>
      </c>
      <c r="D266">
        <v>5028.0069999999996</v>
      </c>
      <c r="E266">
        <v>5934.9930000000004</v>
      </c>
      <c r="G266" s="2">
        <f t="shared" si="36"/>
        <v>0</v>
      </c>
      <c r="H266" s="2">
        <f t="shared" si="37"/>
        <v>0</v>
      </c>
      <c r="I266" s="2">
        <f t="shared" si="38"/>
        <v>0</v>
      </c>
      <c r="J266" s="2"/>
      <c r="K266" s="2">
        <f t="shared" si="39"/>
        <v>1</v>
      </c>
      <c r="L266" s="2">
        <f t="shared" si="40"/>
        <v>1</v>
      </c>
      <c r="M266" s="2">
        <f t="shared" si="41"/>
        <v>1</v>
      </c>
      <c r="O266" s="3">
        <f t="shared" si="42"/>
        <v>0.69390131958263956</v>
      </c>
      <c r="P266" s="3">
        <f t="shared" si="43"/>
        <v>0.67231151428389035</v>
      </c>
      <c r="Q266" s="3">
        <f t="shared" si="44"/>
        <v>0.46651784693219406</v>
      </c>
    </row>
    <row r="267" spans="1:17" x14ac:dyDescent="0.3">
      <c r="A267" s="1" t="s">
        <v>270</v>
      </c>
      <c r="B267">
        <v>1762.152</v>
      </c>
      <c r="C267">
        <v>2220.0309999999999</v>
      </c>
      <c r="D267">
        <v>3686.9960000000001</v>
      </c>
      <c r="E267">
        <v>3686.9960000000001</v>
      </c>
      <c r="G267" s="2">
        <f t="shared" si="36"/>
        <v>0</v>
      </c>
      <c r="H267" s="2">
        <f t="shared" si="37"/>
        <v>0</v>
      </c>
      <c r="I267" s="2">
        <f t="shared" si="38"/>
        <v>1</v>
      </c>
      <c r="J267" s="2"/>
      <c r="K267" s="2">
        <f t="shared" si="39"/>
        <v>1</v>
      </c>
      <c r="L267" s="2">
        <f t="shared" si="40"/>
        <v>1</v>
      </c>
      <c r="M267" s="2">
        <f t="shared" si="41"/>
        <v>1</v>
      </c>
      <c r="O267" s="3">
        <f t="shared" si="42"/>
        <v>0.79375107825070912</v>
      </c>
      <c r="P267" s="3">
        <f t="shared" si="43"/>
        <v>0.60212460225072117</v>
      </c>
      <c r="Q267" s="3">
        <f t="shared" si="44"/>
        <v>0.47793705227778926</v>
      </c>
    </row>
    <row r="268" spans="1:17" x14ac:dyDescent="0.3">
      <c r="A268" s="1" t="s">
        <v>271</v>
      </c>
      <c r="B268">
        <v>4078.9969999999998</v>
      </c>
      <c r="C268">
        <v>4078.9969999999998</v>
      </c>
      <c r="D268">
        <v>4078.9969999999998</v>
      </c>
      <c r="E268">
        <v>4078.9969999999998</v>
      </c>
      <c r="G268" s="2">
        <f t="shared" si="36"/>
        <v>1</v>
      </c>
      <c r="H268" s="2">
        <f t="shared" si="37"/>
        <v>1</v>
      </c>
      <c r="I268" s="2">
        <f t="shared" si="38"/>
        <v>1</v>
      </c>
      <c r="J268" s="2"/>
      <c r="K268" s="2">
        <f t="shared" si="39"/>
        <v>0</v>
      </c>
      <c r="L268" s="2">
        <f t="shared" si="40"/>
        <v>0</v>
      </c>
      <c r="M268" s="2">
        <f t="shared" si="41"/>
        <v>0</v>
      </c>
      <c r="O268" s="3">
        <f t="shared" si="42"/>
        <v>1</v>
      </c>
      <c r="P268" s="3">
        <f t="shared" si="43"/>
        <v>1</v>
      </c>
      <c r="Q268" s="3">
        <f t="shared" si="44"/>
        <v>1</v>
      </c>
    </row>
    <row r="269" spans="1:17" x14ac:dyDescent="0.3">
      <c r="A269" s="1" t="s">
        <v>272</v>
      </c>
      <c r="B269">
        <v>3823.922</v>
      </c>
      <c r="C269">
        <v>5205.0029999999997</v>
      </c>
      <c r="D269">
        <v>5205.0029999999997</v>
      </c>
      <c r="E269">
        <v>5205.0029999999997</v>
      </c>
      <c r="G269" s="2">
        <f t="shared" si="36"/>
        <v>0</v>
      </c>
      <c r="H269" s="2">
        <f t="shared" si="37"/>
        <v>1</v>
      </c>
      <c r="I269" s="2">
        <f t="shared" si="38"/>
        <v>1</v>
      </c>
      <c r="J269" s="2"/>
      <c r="K269" s="2">
        <f t="shared" si="39"/>
        <v>1</v>
      </c>
      <c r="L269" s="2">
        <f t="shared" si="40"/>
        <v>0</v>
      </c>
      <c r="M269" s="2">
        <f t="shared" si="41"/>
        <v>1</v>
      </c>
      <c r="O269" s="3">
        <f t="shared" si="42"/>
        <v>0.7346627850166465</v>
      </c>
      <c r="P269" s="3">
        <f t="shared" si="43"/>
        <v>1</v>
      </c>
      <c r="Q269" s="3">
        <f t="shared" si="44"/>
        <v>0.7346627850166465</v>
      </c>
    </row>
    <row r="270" spans="1:17" x14ac:dyDescent="0.3">
      <c r="A270" s="1" t="s">
        <v>273</v>
      </c>
      <c r="B270">
        <v>2711.3969999999999</v>
      </c>
      <c r="C270">
        <v>3995.0010000000002</v>
      </c>
      <c r="D270">
        <v>3995.0010000000002</v>
      </c>
      <c r="E270">
        <v>3995.0010000000002</v>
      </c>
      <c r="G270" s="2">
        <f t="shared" si="36"/>
        <v>0</v>
      </c>
      <c r="H270" s="2">
        <f t="shared" si="37"/>
        <v>1</v>
      </c>
      <c r="I270" s="2">
        <f t="shared" si="38"/>
        <v>1</v>
      </c>
      <c r="J270" s="2"/>
      <c r="K270" s="2">
        <f t="shared" si="39"/>
        <v>1</v>
      </c>
      <c r="L270" s="2">
        <f t="shared" si="40"/>
        <v>0</v>
      </c>
      <c r="M270" s="2">
        <f t="shared" si="41"/>
        <v>1</v>
      </c>
      <c r="O270" s="3">
        <f t="shared" si="42"/>
        <v>0.6786974521408129</v>
      </c>
      <c r="P270" s="3">
        <f t="shared" si="43"/>
        <v>1</v>
      </c>
      <c r="Q270" s="3">
        <f t="shared" si="44"/>
        <v>0.6786974521408129</v>
      </c>
    </row>
    <row r="271" spans="1:17" x14ac:dyDescent="0.3">
      <c r="A271" s="1" t="s">
        <v>274</v>
      </c>
      <c r="B271">
        <v>2853.5509999999999</v>
      </c>
      <c r="C271">
        <v>4501.759</v>
      </c>
      <c r="D271">
        <v>4508.9979999999996</v>
      </c>
      <c r="E271">
        <v>4508.9979999999996</v>
      </c>
      <c r="G271" s="2">
        <f t="shared" si="36"/>
        <v>0</v>
      </c>
      <c r="H271" s="2">
        <f t="shared" si="37"/>
        <v>0</v>
      </c>
      <c r="I271" s="2">
        <f t="shared" si="38"/>
        <v>1</v>
      </c>
      <c r="J271" s="2"/>
      <c r="K271" s="2">
        <f t="shared" si="39"/>
        <v>1</v>
      </c>
      <c r="L271" s="2">
        <f t="shared" si="40"/>
        <v>1</v>
      </c>
      <c r="M271" s="2">
        <f t="shared" si="41"/>
        <v>1</v>
      </c>
      <c r="O271" s="3">
        <f t="shared" si="42"/>
        <v>0.63387466987904062</v>
      </c>
      <c r="P271" s="3">
        <f t="shared" si="43"/>
        <v>0.99839454353273172</v>
      </c>
      <c r="Q271" s="3">
        <f t="shared" si="44"/>
        <v>0.63285701169084574</v>
      </c>
    </row>
    <row r="272" spans="1:17" x14ac:dyDescent="0.3">
      <c r="A272" s="1" t="s">
        <v>275</v>
      </c>
      <c r="B272">
        <v>1748.556</v>
      </c>
      <c r="C272">
        <v>2368.52</v>
      </c>
      <c r="D272">
        <v>3827.9989999999998</v>
      </c>
      <c r="E272">
        <v>3827.9989999999998</v>
      </c>
      <c r="G272" s="2">
        <f t="shared" si="36"/>
        <v>0</v>
      </c>
      <c r="H272" s="2">
        <f t="shared" si="37"/>
        <v>0</v>
      </c>
      <c r="I272" s="2">
        <f t="shared" si="38"/>
        <v>1</v>
      </c>
      <c r="J272" s="2"/>
      <c r="K272" s="2">
        <f t="shared" si="39"/>
        <v>1</v>
      </c>
      <c r="L272" s="2">
        <f t="shared" si="40"/>
        <v>1</v>
      </c>
      <c r="M272" s="2">
        <f t="shared" si="41"/>
        <v>1</v>
      </c>
      <c r="O272" s="3">
        <f t="shared" si="42"/>
        <v>0.7382483576241704</v>
      </c>
      <c r="P272" s="3">
        <f t="shared" si="43"/>
        <v>0.61873579381812793</v>
      </c>
      <c r="Q272" s="3">
        <f t="shared" si="44"/>
        <v>0.45678068358952029</v>
      </c>
    </row>
    <row r="273" spans="1:17" x14ac:dyDescent="0.3">
      <c r="A273" s="1" t="s">
        <v>276</v>
      </c>
      <c r="B273">
        <v>3978.962</v>
      </c>
      <c r="C273">
        <v>5160.2929999999997</v>
      </c>
      <c r="D273">
        <v>5234.9960000000001</v>
      </c>
      <c r="E273">
        <v>5234.9960000000001</v>
      </c>
      <c r="G273" s="2">
        <f t="shared" si="36"/>
        <v>0</v>
      </c>
      <c r="H273" s="2">
        <f t="shared" si="37"/>
        <v>0</v>
      </c>
      <c r="I273" s="2">
        <f t="shared" si="38"/>
        <v>1</v>
      </c>
      <c r="J273" s="2"/>
      <c r="K273" s="2">
        <f t="shared" si="39"/>
        <v>1</v>
      </c>
      <c r="L273" s="2">
        <f t="shared" si="40"/>
        <v>1</v>
      </c>
      <c r="M273" s="2">
        <f t="shared" si="41"/>
        <v>1</v>
      </c>
      <c r="O273" s="3">
        <f t="shared" si="42"/>
        <v>0.77107288287699949</v>
      </c>
      <c r="P273" s="3">
        <f t="shared" si="43"/>
        <v>0.98573007505640875</v>
      </c>
      <c r="Q273" s="3">
        <f t="shared" si="44"/>
        <v>0.76006973071230621</v>
      </c>
    </row>
    <row r="274" spans="1:17" x14ac:dyDescent="0.3">
      <c r="A274" s="1" t="s">
        <v>277</v>
      </c>
      <c r="B274">
        <v>3537.21</v>
      </c>
      <c r="C274">
        <v>4698.366</v>
      </c>
      <c r="D274">
        <v>6904.9849999999997</v>
      </c>
      <c r="E274">
        <v>6904.9849999999997</v>
      </c>
      <c r="G274" s="2">
        <f t="shared" si="36"/>
        <v>0</v>
      </c>
      <c r="H274" s="2">
        <f t="shared" si="37"/>
        <v>0</v>
      </c>
      <c r="I274" s="2">
        <f t="shared" si="38"/>
        <v>1</v>
      </c>
      <c r="J274" s="2"/>
      <c r="K274" s="2">
        <f t="shared" si="39"/>
        <v>1</v>
      </c>
      <c r="L274" s="2">
        <f t="shared" si="40"/>
        <v>1</v>
      </c>
      <c r="M274" s="2">
        <f t="shared" si="41"/>
        <v>1</v>
      </c>
      <c r="O274" s="3">
        <f t="shared" si="42"/>
        <v>0.7528596111924869</v>
      </c>
      <c r="P274" s="3">
        <f t="shared" si="43"/>
        <v>0.68043102193560168</v>
      </c>
      <c r="Q274" s="3">
        <f t="shared" si="44"/>
        <v>0.51226903461774353</v>
      </c>
    </row>
    <row r="275" spans="1:17" x14ac:dyDescent="0.3">
      <c r="A275" s="1" t="s">
        <v>278</v>
      </c>
      <c r="B275">
        <v>3849.0230000000001</v>
      </c>
      <c r="C275">
        <v>4662</v>
      </c>
      <c r="D275">
        <v>4662</v>
      </c>
      <c r="E275">
        <v>4662</v>
      </c>
      <c r="G275" s="2">
        <f t="shared" si="36"/>
        <v>0</v>
      </c>
      <c r="H275" s="2">
        <f t="shared" si="37"/>
        <v>1</v>
      </c>
      <c r="I275" s="2">
        <f t="shared" si="38"/>
        <v>1</v>
      </c>
      <c r="J275" s="2"/>
      <c r="K275" s="2">
        <f t="shared" si="39"/>
        <v>1</v>
      </c>
      <c r="L275" s="2">
        <f t="shared" si="40"/>
        <v>0</v>
      </c>
      <c r="M275" s="2">
        <f t="shared" si="41"/>
        <v>1</v>
      </c>
      <c r="O275" s="3">
        <f t="shared" si="42"/>
        <v>0.82561625911625913</v>
      </c>
      <c r="P275" s="3">
        <f t="shared" si="43"/>
        <v>1</v>
      </c>
      <c r="Q275" s="3">
        <f t="shared" si="44"/>
        <v>0.82561625911625913</v>
      </c>
    </row>
    <row r="276" spans="1:17" x14ac:dyDescent="0.3">
      <c r="A276" s="1" t="s">
        <v>279</v>
      </c>
      <c r="B276">
        <v>3393.3890000000001</v>
      </c>
      <c r="C276">
        <v>4424.7560000000003</v>
      </c>
      <c r="D276">
        <v>4898.0020000000004</v>
      </c>
      <c r="E276">
        <v>4898.0020000000004</v>
      </c>
      <c r="G276" s="2">
        <f t="shared" si="36"/>
        <v>0</v>
      </c>
      <c r="H276" s="2">
        <f t="shared" si="37"/>
        <v>0</v>
      </c>
      <c r="I276" s="2">
        <f t="shared" si="38"/>
        <v>1</v>
      </c>
      <c r="J276" s="2"/>
      <c r="K276" s="2">
        <f t="shared" si="39"/>
        <v>1</v>
      </c>
      <c r="L276" s="2">
        <f t="shared" si="40"/>
        <v>1</v>
      </c>
      <c r="M276" s="2">
        <f t="shared" si="41"/>
        <v>1</v>
      </c>
      <c r="O276" s="3">
        <f t="shared" si="42"/>
        <v>0.76690985898431463</v>
      </c>
      <c r="P276" s="3">
        <f t="shared" si="43"/>
        <v>0.90337978628836824</v>
      </c>
      <c r="Q276" s="3">
        <f t="shared" si="44"/>
        <v>0.69281086451169271</v>
      </c>
    </row>
    <row r="277" spans="1:17" x14ac:dyDescent="0.3">
      <c r="A277" s="1" t="s">
        <v>280</v>
      </c>
      <c r="B277">
        <v>1488.7349999999999</v>
      </c>
      <c r="C277">
        <v>1952.0709999999999</v>
      </c>
      <c r="D277">
        <v>2412.2429999999999</v>
      </c>
      <c r="E277">
        <v>3704.0030000000002</v>
      </c>
      <c r="G277" s="2">
        <f t="shared" si="36"/>
        <v>0</v>
      </c>
      <c r="H277" s="2">
        <f t="shared" si="37"/>
        <v>0</v>
      </c>
      <c r="I277" s="2">
        <f t="shared" si="38"/>
        <v>0</v>
      </c>
      <c r="J277" s="2"/>
      <c r="K277" s="2">
        <f t="shared" si="39"/>
        <v>1</v>
      </c>
      <c r="L277" s="2">
        <f t="shared" si="40"/>
        <v>1</v>
      </c>
      <c r="M277" s="2">
        <f t="shared" si="41"/>
        <v>1</v>
      </c>
      <c r="O277" s="3">
        <f t="shared" si="42"/>
        <v>0.76264387924414634</v>
      </c>
      <c r="P277" s="3">
        <f t="shared" si="43"/>
        <v>0.80923480760437483</v>
      </c>
      <c r="Q277" s="3">
        <f t="shared" si="44"/>
        <v>0.61715797289079077</v>
      </c>
    </row>
    <row r="278" spans="1:17" x14ac:dyDescent="0.3">
      <c r="A278" s="1" t="s">
        <v>281</v>
      </c>
      <c r="B278">
        <v>5173.4009999999998</v>
      </c>
      <c r="C278">
        <v>6176.0010000000002</v>
      </c>
      <c r="D278">
        <v>6176.0010000000002</v>
      </c>
      <c r="E278">
        <v>6176.0010000000002</v>
      </c>
      <c r="G278" s="2">
        <f t="shared" si="36"/>
        <v>0</v>
      </c>
      <c r="H278" s="2">
        <f t="shared" si="37"/>
        <v>1</v>
      </c>
      <c r="I278" s="2">
        <f t="shared" si="38"/>
        <v>1</v>
      </c>
      <c r="J278" s="2"/>
      <c r="K278" s="2">
        <f t="shared" si="39"/>
        <v>1</v>
      </c>
      <c r="L278" s="2">
        <f t="shared" si="40"/>
        <v>0</v>
      </c>
      <c r="M278" s="2">
        <f t="shared" si="41"/>
        <v>1</v>
      </c>
      <c r="O278" s="3">
        <f t="shared" si="42"/>
        <v>0.83766194338375266</v>
      </c>
      <c r="P278" s="3">
        <f t="shared" si="43"/>
        <v>1</v>
      </c>
      <c r="Q278" s="3">
        <f t="shared" si="44"/>
        <v>0.83766194338375266</v>
      </c>
    </row>
    <row r="279" spans="1:17" x14ac:dyDescent="0.3">
      <c r="A279" s="1" t="s">
        <v>282</v>
      </c>
      <c r="B279">
        <v>2267.23</v>
      </c>
      <c r="C279">
        <v>3695.7739999999999</v>
      </c>
      <c r="D279">
        <v>3842.8209999999999</v>
      </c>
      <c r="E279">
        <v>3971.002</v>
      </c>
      <c r="G279" s="2">
        <f t="shared" si="36"/>
        <v>0</v>
      </c>
      <c r="H279" s="2">
        <f t="shared" si="37"/>
        <v>0</v>
      </c>
      <c r="I279" s="2">
        <f t="shared" si="38"/>
        <v>0</v>
      </c>
      <c r="J279" s="2"/>
      <c r="K279" s="2">
        <f t="shared" si="39"/>
        <v>1</v>
      </c>
      <c r="L279" s="2">
        <f t="shared" si="40"/>
        <v>1</v>
      </c>
      <c r="M279" s="2">
        <f t="shared" si="41"/>
        <v>1</v>
      </c>
      <c r="O279" s="3">
        <f t="shared" si="42"/>
        <v>0.61346554199472159</v>
      </c>
      <c r="P279" s="3">
        <f t="shared" si="43"/>
        <v>0.96173462151893097</v>
      </c>
      <c r="Q279" s="3">
        <f t="shared" si="44"/>
        <v>0.58999105084519943</v>
      </c>
    </row>
    <row r="280" spans="1:17" x14ac:dyDescent="0.3">
      <c r="A280" s="1" t="s">
        <v>283</v>
      </c>
      <c r="B280">
        <v>4878.2139999999999</v>
      </c>
      <c r="C280">
        <v>6465.0039999999999</v>
      </c>
      <c r="D280">
        <v>6465.0039999999999</v>
      </c>
      <c r="E280">
        <v>6465.0039999999999</v>
      </c>
      <c r="G280" s="2">
        <f t="shared" si="36"/>
        <v>0</v>
      </c>
      <c r="H280" s="2">
        <f t="shared" si="37"/>
        <v>1</v>
      </c>
      <c r="I280" s="2">
        <f t="shared" si="38"/>
        <v>1</v>
      </c>
      <c r="J280" s="2"/>
      <c r="K280" s="2">
        <f t="shared" si="39"/>
        <v>1</v>
      </c>
      <c r="L280" s="2">
        <f t="shared" si="40"/>
        <v>0</v>
      </c>
      <c r="M280" s="2">
        <f t="shared" si="41"/>
        <v>1</v>
      </c>
      <c r="O280" s="3">
        <f t="shared" si="42"/>
        <v>0.75455699640711749</v>
      </c>
      <c r="P280" s="3">
        <f t="shared" si="43"/>
        <v>1</v>
      </c>
      <c r="Q280" s="3">
        <f t="shared" si="44"/>
        <v>0.75455699640711749</v>
      </c>
    </row>
    <row r="281" spans="1:17" x14ac:dyDescent="0.3">
      <c r="A281" s="1" t="s">
        <v>284</v>
      </c>
      <c r="B281">
        <v>3376.5630000000001</v>
      </c>
      <c r="C281">
        <v>4232.6549999999997</v>
      </c>
      <c r="D281">
        <v>5761.9939999999997</v>
      </c>
      <c r="E281">
        <v>5761.9939999999997</v>
      </c>
      <c r="G281" s="2">
        <f t="shared" si="36"/>
        <v>0</v>
      </c>
      <c r="H281" s="2">
        <f t="shared" si="37"/>
        <v>0</v>
      </c>
      <c r="I281" s="2">
        <f t="shared" si="38"/>
        <v>1</v>
      </c>
      <c r="J281" s="2"/>
      <c r="K281" s="2">
        <f t="shared" si="39"/>
        <v>1</v>
      </c>
      <c r="L281" s="2">
        <f t="shared" si="40"/>
        <v>1</v>
      </c>
      <c r="M281" s="2">
        <f t="shared" si="41"/>
        <v>1</v>
      </c>
      <c r="O281" s="3">
        <f t="shared" si="42"/>
        <v>0.79774113411085956</v>
      </c>
      <c r="P281" s="3">
        <f t="shared" si="43"/>
        <v>0.73458163961989542</v>
      </c>
      <c r="Q281" s="3">
        <f t="shared" si="44"/>
        <v>0.5860059902873902</v>
      </c>
    </row>
    <row r="282" spans="1:17" x14ac:dyDescent="0.3">
      <c r="A282" s="1" t="s">
        <v>285</v>
      </c>
      <c r="B282">
        <v>3049.55</v>
      </c>
      <c r="C282">
        <v>4167.143</v>
      </c>
      <c r="D282">
        <v>4860.9530000000004</v>
      </c>
      <c r="E282">
        <v>5206.0050000000001</v>
      </c>
      <c r="G282" s="2">
        <f t="shared" si="36"/>
        <v>0</v>
      </c>
      <c r="H282" s="2">
        <f t="shared" si="37"/>
        <v>0</v>
      </c>
      <c r="I282" s="2">
        <f t="shared" si="38"/>
        <v>0</v>
      </c>
      <c r="J282" s="2"/>
      <c r="K282" s="2">
        <f t="shared" si="39"/>
        <v>1</v>
      </c>
      <c r="L282" s="2">
        <f t="shared" si="40"/>
        <v>1</v>
      </c>
      <c r="M282" s="2">
        <f t="shared" si="41"/>
        <v>1</v>
      </c>
      <c r="O282" s="3">
        <f t="shared" si="42"/>
        <v>0.73180833967060888</v>
      </c>
      <c r="P282" s="3">
        <f t="shared" si="43"/>
        <v>0.85726872899203088</v>
      </c>
      <c r="Q282" s="3">
        <f t="shared" si="44"/>
        <v>0.62735640521519132</v>
      </c>
    </row>
    <row r="283" spans="1:17" x14ac:dyDescent="0.3">
      <c r="A283" s="1" t="s">
        <v>286</v>
      </c>
      <c r="B283">
        <v>2869.6930000000002</v>
      </c>
      <c r="C283">
        <v>4055.672</v>
      </c>
      <c r="D283">
        <v>4639.9920000000002</v>
      </c>
      <c r="E283">
        <v>4639.9920000000002</v>
      </c>
      <c r="G283" s="2">
        <f t="shared" si="36"/>
        <v>0</v>
      </c>
      <c r="H283" s="2">
        <f t="shared" si="37"/>
        <v>0</v>
      </c>
      <c r="I283" s="2">
        <f t="shared" si="38"/>
        <v>1</v>
      </c>
      <c r="J283" s="2"/>
      <c r="K283" s="2">
        <f t="shared" si="39"/>
        <v>1</v>
      </c>
      <c r="L283" s="2">
        <f t="shared" si="40"/>
        <v>1</v>
      </c>
      <c r="M283" s="2">
        <f t="shared" si="41"/>
        <v>1</v>
      </c>
      <c r="O283" s="3">
        <f t="shared" si="42"/>
        <v>0.70757521811428548</v>
      </c>
      <c r="P283" s="3">
        <f t="shared" si="43"/>
        <v>0.87406874839439375</v>
      </c>
      <c r="Q283" s="3">
        <f t="shared" si="44"/>
        <v>0.61846938529204365</v>
      </c>
    </row>
    <row r="284" spans="1:17" x14ac:dyDescent="0.3">
      <c r="A284" s="1" t="s">
        <v>287</v>
      </c>
      <c r="B284">
        <v>4446.7380000000003</v>
      </c>
      <c r="C284">
        <v>6026.9949999999999</v>
      </c>
      <c r="D284">
        <v>6026.9949999999999</v>
      </c>
      <c r="E284">
        <v>6026.9949999999999</v>
      </c>
      <c r="G284" s="2">
        <f t="shared" si="36"/>
        <v>0</v>
      </c>
      <c r="H284" s="2">
        <f t="shared" si="37"/>
        <v>1</v>
      </c>
      <c r="I284" s="2">
        <f t="shared" si="38"/>
        <v>1</v>
      </c>
      <c r="J284" s="2"/>
      <c r="K284" s="2">
        <f t="shared" si="39"/>
        <v>1</v>
      </c>
      <c r="L284" s="2">
        <f t="shared" si="40"/>
        <v>0</v>
      </c>
      <c r="M284" s="2">
        <f t="shared" si="41"/>
        <v>1</v>
      </c>
      <c r="O284" s="3">
        <f t="shared" si="42"/>
        <v>0.73780349909034271</v>
      </c>
      <c r="P284" s="3">
        <f t="shared" si="43"/>
        <v>1</v>
      </c>
      <c r="Q284" s="3">
        <f t="shared" si="44"/>
        <v>0.73780349909034271</v>
      </c>
    </row>
    <row r="285" spans="1:17" x14ac:dyDescent="0.3">
      <c r="A285" s="1" t="s">
        <v>288</v>
      </c>
      <c r="B285">
        <v>2168.558</v>
      </c>
      <c r="C285">
        <v>3763.2159999999999</v>
      </c>
      <c r="D285">
        <v>3948.5120000000002</v>
      </c>
      <c r="E285">
        <v>4329.0029999999997</v>
      </c>
      <c r="G285" s="2">
        <f t="shared" si="36"/>
        <v>0</v>
      </c>
      <c r="H285" s="2">
        <f t="shared" si="37"/>
        <v>0</v>
      </c>
      <c r="I285" s="2">
        <f t="shared" si="38"/>
        <v>0</v>
      </c>
      <c r="J285" s="2"/>
      <c r="K285" s="2">
        <f t="shared" si="39"/>
        <v>1</v>
      </c>
      <c r="L285" s="2">
        <f t="shared" si="40"/>
        <v>1</v>
      </c>
      <c r="M285" s="2">
        <f t="shared" si="41"/>
        <v>1</v>
      </c>
      <c r="O285" s="3">
        <f t="shared" si="42"/>
        <v>0.57625127019017774</v>
      </c>
      <c r="P285" s="3">
        <f t="shared" si="43"/>
        <v>0.9530719420379119</v>
      </c>
      <c r="Q285" s="3">
        <f t="shared" si="44"/>
        <v>0.54920891718196629</v>
      </c>
    </row>
    <row r="286" spans="1:17" x14ac:dyDescent="0.3">
      <c r="A286" s="1" t="s">
        <v>289</v>
      </c>
      <c r="B286">
        <v>4081.9029999999998</v>
      </c>
      <c r="C286">
        <v>4653.9949999999999</v>
      </c>
      <c r="D286">
        <v>4653.9949999999999</v>
      </c>
      <c r="E286">
        <v>4653.9949999999999</v>
      </c>
      <c r="G286" s="2">
        <f t="shared" si="36"/>
        <v>0</v>
      </c>
      <c r="H286" s="2">
        <f t="shared" si="37"/>
        <v>1</v>
      </c>
      <c r="I286" s="2">
        <f t="shared" si="38"/>
        <v>1</v>
      </c>
      <c r="J286" s="2"/>
      <c r="K286" s="2">
        <f t="shared" si="39"/>
        <v>1</v>
      </c>
      <c r="L286" s="2">
        <f t="shared" si="40"/>
        <v>0</v>
      </c>
      <c r="M286" s="2">
        <f t="shared" si="41"/>
        <v>1</v>
      </c>
      <c r="O286" s="3">
        <f t="shared" si="42"/>
        <v>0.87707507206174473</v>
      </c>
      <c r="P286" s="3">
        <f t="shared" si="43"/>
        <v>1</v>
      </c>
      <c r="Q286" s="3">
        <f t="shared" si="44"/>
        <v>0.87707507206174473</v>
      </c>
    </row>
    <row r="287" spans="1:17" x14ac:dyDescent="0.3">
      <c r="A287" s="1" t="s">
        <v>290</v>
      </c>
      <c r="B287">
        <v>2817.5880000000002</v>
      </c>
      <c r="C287">
        <v>3574.0610000000001</v>
      </c>
      <c r="D287">
        <v>3795.0010000000002</v>
      </c>
      <c r="E287">
        <v>3795.0010000000002</v>
      </c>
      <c r="G287" s="2">
        <f t="shared" si="36"/>
        <v>0</v>
      </c>
      <c r="H287" s="2">
        <f t="shared" si="37"/>
        <v>0</v>
      </c>
      <c r="I287" s="2">
        <f t="shared" si="38"/>
        <v>1</v>
      </c>
      <c r="J287" s="2"/>
      <c r="K287" s="2">
        <f t="shared" si="39"/>
        <v>1</v>
      </c>
      <c r="L287" s="2">
        <f t="shared" si="40"/>
        <v>1</v>
      </c>
      <c r="M287" s="2">
        <f t="shared" si="41"/>
        <v>1</v>
      </c>
      <c r="O287" s="3">
        <f t="shared" si="42"/>
        <v>0.78834356772310266</v>
      </c>
      <c r="P287" s="3">
        <f t="shared" si="43"/>
        <v>0.94178130651348968</v>
      </c>
      <c r="Q287" s="3">
        <f t="shared" si="44"/>
        <v>0.74244723519176936</v>
      </c>
    </row>
    <row r="288" spans="1:17" x14ac:dyDescent="0.3">
      <c r="A288" s="1" t="s">
        <v>291</v>
      </c>
      <c r="B288">
        <v>1280.8219999999999</v>
      </c>
      <c r="C288">
        <v>2044.873</v>
      </c>
      <c r="D288">
        <v>2361.9899999999998</v>
      </c>
      <c r="E288">
        <v>3875.9989999999998</v>
      </c>
      <c r="G288" s="2">
        <f t="shared" si="36"/>
        <v>0</v>
      </c>
      <c r="H288" s="2">
        <f t="shared" si="37"/>
        <v>0</v>
      </c>
      <c r="I288" s="2">
        <f t="shared" si="38"/>
        <v>0</v>
      </c>
      <c r="J288" s="2"/>
      <c r="K288" s="2">
        <f t="shared" si="39"/>
        <v>1</v>
      </c>
      <c r="L288" s="2">
        <f t="shared" si="40"/>
        <v>1</v>
      </c>
      <c r="M288" s="2">
        <f t="shared" si="41"/>
        <v>1</v>
      </c>
      <c r="O288" s="3">
        <f t="shared" si="42"/>
        <v>0.62635772490516517</v>
      </c>
      <c r="P288" s="3">
        <f t="shared" si="43"/>
        <v>0.86574159924470473</v>
      </c>
      <c r="Q288" s="3">
        <f t="shared" si="44"/>
        <v>0.5422639384586726</v>
      </c>
    </row>
    <row r="289" spans="1:17" x14ac:dyDescent="0.3">
      <c r="A289" s="1" t="s">
        <v>292</v>
      </c>
      <c r="B289">
        <v>3418.0250000000001</v>
      </c>
      <c r="C289">
        <v>4594.66</v>
      </c>
      <c r="D289">
        <v>5214.9960000000001</v>
      </c>
      <c r="E289">
        <v>5214.9960000000001</v>
      </c>
      <c r="G289" s="2">
        <f t="shared" si="36"/>
        <v>0</v>
      </c>
      <c r="H289" s="2">
        <f t="shared" si="37"/>
        <v>0</v>
      </c>
      <c r="I289" s="2">
        <f t="shared" si="38"/>
        <v>1</v>
      </c>
      <c r="J289" s="2"/>
      <c r="K289" s="2">
        <f t="shared" si="39"/>
        <v>1</v>
      </c>
      <c r="L289" s="2">
        <f t="shared" si="40"/>
        <v>1</v>
      </c>
      <c r="M289" s="2">
        <f t="shared" si="41"/>
        <v>1</v>
      </c>
      <c r="O289" s="3">
        <f t="shared" si="42"/>
        <v>0.74391249842208129</v>
      </c>
      <c r="P289" s="3">
        <f t="shared" si="43"/>
        <v>0.88104765564537346</v>
      </c>
      <c r="Q289" s="3">
        <f t="shared" si="44"/>
        <v>0.65542236274006727</v>
      </c>
    </row>
    <row r="290" spans="1:17" x14ac:dyDescent="0.3">
      <c r="A290" s="1" t="s">
        <v>293</v>
      </c>
      <c r="B290">
        <v>2882.7060000000001</v>
      </c>
      <c r="C290">
        <v>4349.8590000000004</v>
      </c>
      <c r="D290">
        <v>5271.4179999999997</v>
      </c>
      <c r="E290">
        <v>5308.0029999999997</v>
      </c>
      <c r="G290" s="2">
        <f t="shared" si="36"/>
        <v>0</v>
      </c>
      <c r="H290" s="2">
        <f t="shared" si="37"/>
        <v>0</v>
      </c>
      <c r="I290" s="2">
        <f t="shared" si="38"/>
        <v>0</v>
      </c>
      <c r="J290" s="2"/>
      <c r="K290" s="2">
        <f t="shared" si="39"/>
        <v>1</v>
      </c>
      <c r="L290" s="2">
        <f t="shared" si="40"/>
        <v>1</v>
      </c>
      <c r="M290" s="2">
        <f t="shared" si="41"/>
        <v>1</v>
      </c>
      <c r="O290" s="3">
        <f t="shared" si="42"/>
        <v>0.66271251550912336</v>
      </c>
      <c r="P290" s="3">
        <f t="shared" si="43"/>
        <v>0.82517815889386892</v>
      </c>
      <c r="Q290" s="3">
        <f t="shared" si="44"/>
        <v>0.54685589342374297</v>
      </c>
    </row>
    <row r="291" spans="1:17" x14ac:dyDescent="0.3">
      <c r="A291" s="1" t="s">
        <v>294</v>
      </c>
      <c r="B291">
        <v>2988.069</v>
      </c>
      <c r="C291">
        <v>4559.6270000000004</v>
      </c>
      <c r="D291">
        <v>5900</v>
      </c>
      <c r="E291">
        <v>5900</v>
      </c>
      <c r="G291" s="2">
        <f t="shared" si="36"/>
        <v>0</v>
      </c>
      <c r="H291" s="2">
        <f t="shared" si="37"/>
        <v>0</v>
      </c>
      <c r="I291" s="2">
        <f t="shared" si="38"/>
        <v>1</v>
      </c>
      <c r="J291" s="2"/>
      <c r="K291" s="2">
        <f t="shared" si="39"/>
        <v>1</v>
      </c>
      <c r="L291" s="2">
        <f t="shared" si="40"/>
        <v>1</v>
      </c>
      <c r="M291" s="2">
        <f t="shared" si="41"/>
        <v>1</v>
      </c>
      <c r="O291" s="3">
        <f t="shared" si="42"/>
        <v>0.65533189447294693</v>
      </c>
      <c r="P291" s="3">
        <f t="shared" si="43"/>
        <v>0.77281813559322043</v>
      </c>
      <c r="Q291" s="3">
        <f t="shared" si="44"/>
        <v>0.50645237288135592</v>
      </c>
    </row>
    <row r="292" spans="1:17" x14ac:dyDescent="0.3">
      <c r="A292" s="1" t="s">
        <v>295</v>
      </c>
      <c r="B292">
        <v>3955.085</v>
      </c>
      <c r="C292">
        <v>5543.9960000000001</v>
      </c>
      <c r="D292">
        <v>5543.9960000000001</v>
      </c>
      <c r="E292">
        <v>5543.9960000000001</v>
      </c>
      <c r="G292" s="2">
        <f t="shared" si="36"/>
        <v>0</v>
      </c>
      <c r="H292" s="2">
        <f t="shared" si="37"/>
        <v>1</v>
      </c>
      <c r="I292" s="2">
        <f t="shared" si="38"/>
        <v>1</v>
      </c>
      <c r="J292" s="2"/>
      <c r="K292" s="2">
        <f t="shared" si="39"/>
        <v>1</v>
      </c>
      <c r="L292" s="2">
        <f t="shared" si="40"/>
        <v>0</v>
      </c>
      <c r="M292" s="2">
        <f t="shared" si="41"/>
        <v>1</v>
      </c>
      <c r="O292" s="3">
        <f t="shared" si="42"/>
        <v>0.71339968499255768</v>
      </c>
      <c r="P292" s="3">
        <f t="shared" si="43"/>
        <v>1</v>
      </c>
      <c r="Q292" s="3">
        <f t="shared" si="44"/>
        <v>0.71339968499255768</v>
      </c>
    </row>
    <row r="293" spans="1:17" x14ac:dyDescent="0.3">
      <c r="A293" s="1" t="s">
        <v>296</v>
      </c>
      <c r="B293">
        <v>3804.0010000000002</v>
      </c>
      <c r="C293">
        <v>3804.0010000000002</v>
      </c>
      <c r="D293">
        <v>3804.0010000000002</v>
      </c>
      <c r="E293">
        <v>3804.0010000000002</v>
      </c>
      <c r="G293" s="2">
        <f t="shared" si="36"/>
        <v>1</v>
      </c>
      <c r="H293" s="2">
        <f t="shared" si="37"/>
        <v>1</v>
      </c>
      <c r="I293" s="2">
        <f t="shared" si="38"/>
        <v>1</v>
      </c>
      <c r="J293" s="2"/>
      <c r="K293" s="2">
        <f t="shared" si="39"/>
        <v>0</v>
      </c>
      <c r="L293" s="2">
        <f t="shared" si="40"/>
        <v>0</v>
      </c>
      <c r="M293" s="2">
        <f t="shared" si="41"/>
        <v>0</v>
      </c>
      <c r="O293" s="3">
        <f t="shared" si="42"/>
        <v>1</v>
      </c>
      <c r="P293" s="3">
        <f t="shared" si="43"/>
        <v>1</v>
      </c>
      <c r="Q293" s="3">
        <f t="shared" si="44"/>
        <v>1</v>
      </c>
    </row>
    <row r="294" spans="1:17" x14ac:dyDescent="0.3">
      <c r="A294" s="1" t="s">
        <v>297</v>
      </c>
      <c r="B294">
        <v>2436.1950000000002</v>
      </c>
      <c r="C294">
        <v>3614.21</v>
      </c>
      <c r="D294">
        <v>4098.0119999999997</v>
      </c>
      <c r="E294">
        <v>4315.9989999999998</v>
      </c>
      <c r="G294" s="2">
        <f t="shared" si="36"/>
        <v>0</v>
      </c>
      <c r="H294" s="2">
        <f t="shared" si="37"/>
        <v>0</v>
      </c>
      <c r="I294" s="2">
        <f t="shared" si="38"/>
        <v>0</v>
      </c>
      <c r="J294" s="2"/>
      <c r="K294" s="2">
        <f t="shared" si="39"/>
        <v>1</v>
      </c>
      <c r="L294" s="2">
        <f t="shared" si="40"/>
        <v>1</v>
      </c>
      <c r="M294" s="2">
        <f t="shared" si="41"/>
        <v>1</v>
      </c>
      <c r="O294" s="3">
        <f t="shared" si="42"/>
        <v>0.6740601680588566</v>
      </c>
      <c r="P294" s="3">
        <f t="shared" si="43"/>
        <v>0.88194226859267377</v>
      </c>
      <c r="Q294" s="3">
        <f t="shared" si="44"/>
        <v>0.59448215378578695</v>
      </c>
    </row>
    <row r="295" spans="1:17" x14ac:dyDescent="0.3">
      <c r="A295" s="1" t="s">
        <v>298</v>
      </c>
      <c r="B295">
        <v>4555.848</v>
      </c>
      <c r="C295">
        <v>8207.9950000000008</v>
      </c>
      <c r="D295">
        <v>8207.9950000000008</v>
      </c>
      <c r="E295">
        <v>8207.9950000000008</v>
      </c>
      <c r="G295" s="2">
        <f t="shared" si="36"/>
        <v>0</v>
      </c>
      <c r="H295" s="2">
        <f t="shared" si="37"/>
        <v>1</v>
      </c>
      <c r="I295" s="2">
        <f t="shared" si="38"/>
        <v>1</v>
      </c>
      <c r="J295" s="2"/>
      <c r="K295" s="2">
        <f t="shared" si="39"/>
        <v>1</v>
      </c>
      <c r="L295" s="2">
        <f t="shared" si="40"/>
        <v>0</v>
      </c>
      <c r="M295" s="2">
        <f t="shared" si="41"/>
        <v>1</v>
      </c>
      <c r="O295" s="3">
        <f t="shared" si="42"/>
        <v>0.5550500457176204</v>
      </c>
      <c r="P295" s="3">
        <f t="shared" si="43"/>
        <v>1</v>
      </c>
      <c r="Q295" s="3">
        <f t="shared" si="44"/>
        <v>0.5550500457176204</v>
      </c>
    </row>
    <row r="296" spans="1:17" x14ac:dyDescent="0.3">
      <c r="A296" s="1" t="s">
        <v>299</v>
      </c>
      <c r="B296">
        <v>7313.0079999999998</v>
      </c>
      <c r="C296">
        <v>7313.0079999999998</v>
      </c>
      <c r="D296">
        <v>7313.0079999999998</v>
      </c>
      <c r="E296">
        <v>7313.0079999999998</v>
      </c>
      <c r="G296" s="2">
        <f t="shared" si="36"/>
        <v>1</v>
      </c>
      <c r="H296" s="2">
        <f t="shared" si="37"/>
        <v>1</v>
      </c>
      <c r="I296" s="2">
        <f t="shared" si="38"/>
        <v>1</v>
      </c>
      <c r="J296" s="2"/>
      <c r="K296" s="2">
        <f t="shared" si="39"/>
        <v>0</v>
      </c>
      <c r="L296" s="2">
        <f t="shared" si="40"/>
        <v>0</v>
      </c>
      <c r="M296" s="2">
        <f t="shared" si="41"/>
        <v>0</v>
      </c>
      <c r="O296" s="3">
        <f t="shared" si="42"/>
        <v>1</v>
      </c>
      <c r="P296" s="3">
        <f t="shared" si="43"/>
        <v>1</v>
      </c>
      <c r="Q296" s="3">
        <f t="shared" si="44"/>
        <v>1</v>
      </c>
    </row>
    <row r="297" spans="1:17" x14ac:dyDescent="0.3">
      <c r="A297" s="1" t="s">
        <v>300</v>
      </c>
      <c r="B297">
        <v>4618.0010000000002</v>
      </c>
      <c r="C297">
        <v>4618.0010000000002</v>
      </c>
      <c r="D297">
        <v>4618.0010000000002</v>
      </c>
      <c r="E297">
        <v>4618.0010000000002</v>
      </c>
      <c r="G297" s="2">
        <f t="shared" si="36"/>
        <v>1</v>
      </c>
      <c r="H297" s="2">
        <f t="shared" si="37"/>
        <v>1</v>
      </c>
      <c r="I297" s="2">
        <f t="shared" si="38"/>
        <v>1</v>
      </c>
      <c r="J297" s="2"/>
      <c r="K297" s="2">
        <f t="shared" si="39"/>
        <v>0</v>
      </c>
      <c r="L297" s="2">
        <f t="shared" si="40"/>
        <v>0</v>
      </c>
      <c r="M297" s="2">
        <f t="shared" si="41"/>
        <v>0</v>
      </c>
      <c r="O297" s="3">
        <f t="shared" si="42"/>
        <v>1</v>
      </c>
      <c r="P297" s="3">
        <f t="shared" si="43"/>
        <v>1</v>
      </c>
      <c r="Q297" s="3">
        <f t="shared" si="44"/>
        <v>1</v>
      </c>
    </row>
    <row r="298" spans="1:17" x14ac:dyDescent="0.3">
      <c r="A298" s="1" t="s">
        <v>301</v>
      </c>
      <c r="B298">
        <v>3841.1320000000001</v>
      </c>
      <c r="C298">
        <v>4595.0020000000004</v>
      </c>
      <c r="D298">
        <v>4595.0020000000004</v>
      </c>
      <c r="E298">
        <v>4595.0020000000004</v>
      </c>
      <c r="G298" s="2">
        <f t="shared" si="36"/>
        <v>0</v>
      </c>
      <c r="H298" s="2">
        <f t="shared" si="37"/>
        <v>1</v>
      </c>
      <c r="I298" s="2">
        <f t="shared" si="38"/>
        <v>1</v>
      </c>
      <c r="J298" s="2"/>
      <c r="K298" s="2">
        <f t="shared" si="39"/>
        <v>1</v>
      </c>
      <c r="L298" s="2">
        <f t="shared" si="40"/>
        <v>0</v>
      </c>
      <c r="M298" s="2">
        <f t="shared" si="41"/>
        <v>1</v>
      </c>
      <c r="O298" s="3">
        <f t="shared" si="42"/>
        <v>0.83593695933102963</v>
      </c>
      <c r="P298" s="3">
        <f t="shared" si="43"/>
        <v>1</v>
      </c>
      <c r="Q298" s="3">
        <f t="shared" si="44"/>
        <v>0.83593695933102963</v>
      </c>
    </row>
    <row r="299" spans="1:17" x14ac:dyDescent="0.3">
      <c r="A299" s="1" t="s">
        <v>302</v>
      </c>
      <c r="B299">
        <v>3340.0059999999999</v>
      </c>
      <c r="C299">
        <v>3340.0059999999999</v>
      </c>
      <c r="D299">
        <v>3340.0059999999999</v>
      </c>
      <c r="E299">
        <v>3340.0059999999999</v>
      </c>
      <c r="G299" s="2">
        <f t="shared" si="36"/>
        <v>1</v>
      </c>
      <c r="H299" s="2">
        <f t="shared" si="37"/>
        <v>1</v>
      </c>
      <c r="I299" s="2">
        <f t="shared" si="38"/>
        <v>1</v>
      </c>
      <c r="J299" s="2"/>
      <c r="K299" s="2">
        <f t="shared" si="39"/>
        <v>0</v>
      </c>
      <c r="L299" s="2">
        <f t="shared" si="40"/>
        <v>0</v>
      </c>
      <c r="M299" s="2">
        <f t="shared" si="41"/>
        <v>0</v>
      </c>
      <c r="O299" s="3">
        <f t="shared" si="42"/>
        <v>1</v>
      </c>
      <c r="P299" s="3">
        <f t="shared" si="43"/>
        <v>1</v>
      </c>
      <c r="Q299" s="3">
        <f t="shared" si="44"/>
        <v>1</v>
      </c>
    </row>
    <row r="300" spans="1:17" x14ac:dyDescent="0.3">
      <c r="A300" s="1" t="s">
        <v>303</v>
      </c>
      <c r="B300">
        <v>2724.998</v>
      </c>
      <c r="C300">
        <v>2724.998</v>
      </c>
      <c r="D300">
        <v>2724.998</v>
      </c>
      <c r="E300">
        <v>2724.998</v>
      </c>
      <c r="G300" s="2">
        <f t="shared" si="36"/>
        <v>1</v>
      </c>
      <c r="H300" s="2">
        <f t="shared" si="37"/>
        <v>1</v>
      </c>
      <c r="I300" s="2">
        <f t="shared" si="38"/>
        <v>1</v>
      </c>
      <c r="J300" s="2"/>
      <c r="K300" s="2">
        <f t="shared" si="39"/>
        <v>0</v>
      </c>
      <c r="L300" s="2">
        <f t="shared" si="40"/>
        <v>0</v>
      </c>
      <c r="M300" s="2">
        <f t="shared" si="41"/>
        <v>0</v>
      </c>
      <c r="O300" s="3">
        <f t="shared" si="42"/>
        <v>1</v>
      </c>
      <c r="P300" s="3">
        <f t="shared" si="43"/>
        <v>1</v>
      </c>
      <c r="Q300" s="3">
        <f t="shared" si="44"/>
        <v>1</v>
      </c>
    </row>
    <row r="301" spans="1:17" x14ac:dyDescent="0.3">
      <c r="A301" s="1" t="s">
        <v>304</v>
      </c>
      <c r="B301">
        <v>11191.062</v>
      </c>
      <c r="C301">
        <v>13283.707</v>
      </c>
      <c r="D301">
        <v>13627.996999999999</v>
      </c>
      <c r="E301">
        <v>13627.996999999999</v>
      </c>
      <c r="G301" s="2">
        <f t="shared" si="36"/>
        <v>0</v>
      </c>
      <c r="H301" s="2">
        <f t="shared" si="37"/>
        <v>0</v>
      </c>
      <c r="I301" s="2">
        <f t="shared" si="38"/>
        <v>1</v>
      </c>
      <c r="J301" s="2"/>
      <c r="K301" s="2">
        <f t="shared" si="39"/>
        <v>1</v>
      </c>
      <c r="L301" s="2">
        <f t="shared" si="40"/>
        <v>1</v>
      </c>
      <c r="M301" s="2">
        <f t="shared" si="41"/>
        <v>1</v>
      </c>
      <c r="O301" s="3">
        <f t="shared" si="42"/>
        <v>0.84246528472812598</v>
      </c>
      <c r="P301" s="3">
        <f t="shared" si="43"/>
        <v>0.97473656620264892</v>
      </c>
      <c r="Q301" s="3">
        <f t="shared" si="44"/>
        <v>0.82118171878083035</v>
      </c>
    </row>
    <row r="302" spans="1:17" x14ac:dyDescent="0.3">
      <c r="A302" s="1" t="s">
        <v>305</v>
      </c>
      <c r="B302">
        <v>9958.4969999999994</v>
      </c>
      <c r="C302">
        <v>10805.994000000001</v>
      </c>
      <c r="D302">
        <v>10805.994000000001</v>
      </c>
      <c r="E302">
        <v>10805.994000000001</v>
      </c>
      <c r="G302" s="2">
        <f t="shared" si="36"/>
        <v>0</v>
      </c>
      <c r="H302" s="2">
        <f t="shared" si="37"/>
        <v>1</v>
      </c>
      <c r="I302" s="2">
        <f t="shared" si="38"/>
        <v>1</v>
      </c>
      <c r="J302" s="2"/>
      <c r="K302" s="2">
        <f t="shared" si="39"/>
        <v>1</v>
      </c>
      <c r="L302" s="2">
        <f t="shared" si="40"/>
        <v>0</v>
      </c>
      <c r="M302" s="2">
        <f t="shared" si="41"/>
        <v>1</v>
      </c>
      <c r="O302" s="3">
        <f t="shared" si="42"/>
        <v>0.92157158332680911</v>
      </c>
      <c r="P302" s="3">
        <f t="shared" si="43"/>
        <v>1</v>
      </c>
      <c r="Q302" s="3">
        <f t="shared" si="44"/>
        <v>0.92157158332680911</v>
      </c>
    </row>
    <row r="303" spans="1:17" x14ac:dyDescent="0.3">
      <c r="A303" s="1" t="s">
        <v>306</v>
      </c>
      <c r="B303">
        <v>10272.251</v>
      </c>
      <c r="C303">
        <v>12083.995999999999</v>
      </c>
      <c r="D303">
        <v>12083.995999999999</v>
      </c>
      <c r="E303">
        <v>12083.995999999999</v>
      </c>
      <c r="G303" s="2">
        <f t="shared" si="36"/>
        <v>0</v>
      </c>
      <c r="H303" s="2">
        <f t="shared" si="37"/>
        <v>1</v>
      </c>
      <c r="I303" s="2">
        <f t="shared" si="38"/>
        <v>1</v>
      </c>
      <c r="J303" s="2"/>
      <c r="K303" s="2">
        <f t="shared" si="39"/>
        <v>1</v>
      </c>
      <c r="L303" s="2">
        <f t="shared" si="40"/>
        <v>0</v>
      </c>
      <c r="M303" s="2">
        <f t="shared" si="41"/>
        <v>1</v>
      </c>
      <c r="O303" s="3">
        <f t="shared" si="42"/>
        <v>0.85007070508795279</v>
      </c>
      <c r="P303" s="3">
        <f t="shared" si="43"/>
        <v>1</v>
      </c>
      <c r="Q303" s="3">
        <f t="shared" si="44"/>
        <v>0.85007070508795279</v>
      </c>
    </row>
    <row r="304" spans="1:17" x14ac:dyDescent="0.3">
      <c r="A304" s="1" t="s">
        <v>307</v>
      </c>
      <c r="B304">
        <v>8392.4210000000003</v>
      </c>
      <c r="C304">
        <v>9990.9869999999992</v>
      </c>
      <c r="D304">
        <v>9990.9869999999992</v>
      </c>
      <c r="E304">
        <v>9990.9869999999992</v>
      </c>
      <c r="G304" s="2">
        <f t="shared" si="36"/>
        <v>0</v>
      </c>
      <c r="H304" s="2">
        <f t="shared" si="37"/>
        <v>1</v>
      </c>
      <c r="I304" s="2">
        <f t="shared" si="38"/>
        <v>1</v>
      </c>
      <c r="J304" s="2"/>
      <c r="K304" s="2">
        <f t="shared" si="39"/>
        <v>1</v>
      </c>
      <c r="L304" s="2">
        <f t="shared" si="40"/>
        <v>0</v>
      </c>
      <c r="M304" s="2">
        <f t="shared" si="41"/>
        <v>1</v>
      </c>
      <c r="O304" s="3">
        <f t="shared" si="42"/>
        <v>0.83999919127109268</v>
      </c>
      <c r="P304" s="3">
        <f t="shared" si="43"/>
        <v>1</v>
      </c>
      <c r="Q304" s="3">
        <f t="shared" si="44"/>
        <v>0.83999919127109268</v>
      </c>
    </row>
    <row r="305" spans="1:17" x14ac:dyDescent="0.3">
      <c r="A305" s="1" t="s">
        <v>308</v>
      </c>
      <c r="B305">
        <v>10401.998</v>
      </c>
      <c r="C305">
        <v>10401.998</v>
      </c>
      <c r="D305">
        <v>10401.998</v>
      </c>
      <c r="E305">
        <v>10401.998</v>
      </c>
      <c r="G305" s="2">
        <f t="shared" si="36"/>
        <v>1</v>
      </c>
      <c r="H305" s="2">
        <f t="shared" si="37"/>
        <v>1</v>
      </c>
      <c r="I305" s="2">
        <f t="shared" si="38"/>
        <v>1</v>
      </c>
      <c r="J305" s="2"/>
      <c r="K305" s="2">
        <f t="shared" si="39"/>
        <v>0</v>
      </c>
      <c r="L305" s="2">
        <f t="shared" si="40"/>
        <v>0</v>
      </c>
      <c r="M305" s="2">
        <f t="shared" si="41"/>
        <v>0</v>
      </c>
      <c r="O305" s="3">
        <f t="shared" si="42"/>
        <v>1</v>
      </c>
      <c r="P305" s="3">
        <f t="shared" si="43"/>
        <v>1</v>
      </c>
      <c r="Q305" s="3">
        <f t="shared" si="44"/>
        <v>1</v>
      </c>
    </row>
    <row r="306" spans="1:17" x14ac:dyDescent="0.3">
      <c r="A306" s="1" t="s">
        <v>309</v>
      </c>
      <c r="B306">
        <v>7562.5709999999999</v>
      </c>
      <c r="C306">
        <v>7929.0079999999998</v>
      </c>
      <c r="D306">
        <v>7929.0079999999998</v>
      </c>
      <c r="E306">
        <v>7929.0079999999998</v>
      </c>
      <c r="G306" s="2">
        <f t="shared" si="36"/>
        <v>0</v>
      </c>
      <c r="H306" s="2">
        <f t="shared" si="37"/>
        <v>1</v>
      </c>
      <c r="I306" s="2">
        <f t="shared" si="38"/>
        <v>1</v>
      </c>
      <c r="J306" s="2"/>
      <c r="K306" s="2">
        <f t="shared" si="39"/>
        <v>1</v>
      </c>
      <c r="L306" s="2">
        <f t="shared" si="40"/>
        <v>0</v>
      </c>
      <c r="M306" s="2">
        <f t="shared" si="41"/>
        <v>1</v>
      </c>
      <c r="O306" s="3">
        <f t="shared" si="42"/>
        <v>0.95378526544556397</v>
      </c>
      <c r="P306" s="3">
        <f t="shared" si="43"/>
        <v>1</v>
      </c>
      <c r="Q306" s="3">
        <f t="shared" si="44"/>
        <v>0.95378526544556397</v>
      </c>
    </row>
    <row r="307" spans="1:17" x14ac:dyDescent="0.3">
      <c r="A307" s="1" t="s">
        <v>310</v>
      </c>
      <c r="B307">
        <v>13105.995000000001</v>
      </c>
      <c r="C307">
        <v>13105.995000000001</v>
      </c>
      <c r="D307">
        <v>13105.995000000001</v>
      </c>
      <c r="E307">
        <v>13105.995000000001</v>
      </c>
      <c r="G307" s="2">
        <f t="shared" si="36"/>
        <v>1</v>
      </c>
      <c r="H307" s="2">
        <f t="shared" si="37"/>
        <v>1</v>
      </c>
      <c r="I307" s="2">
        <f t="shared" si="38"/>
        <v>1</v>
      </c>
      <c r="J307" s="2"/>
      <c r="K307" s="2">
        <f t="shared" si="39"/>
        <v>0</v>
      </c>
      <c r="L307" s="2">
        <f t="shared" si="40"/>
        <v>0</v>
      </c>
      <c r="M307" s="2">
        <f t="shared" si="41"/>
        <v>0</v>
      </c>
      <c r="O307" s="3">
        <f t="shared" si="42"/>
        <v>1</v>
      </c>
      <c r="P307" s="3">
        <f t="shared" si="43"/>
        <v>1</v>
      </c>
      <c r="Q307" s="3">
        <f t="shared" si="44"/>
        <v>1</v>
      </c>
    </row>
    <row r="308" spans="1:17" x14ac:dyDescent="0.3">
      <c r="A308" s="1" t="s">
        <v>311</v>
      </c>
      <c r="B308">
        <v>3966.58</v>
      </c>
      <c r="C308">
        <v>7011.8980000000001</v>
      </c>
      <c r="D308">
        <v>8155.0050000000001</v>
      </c>
      <c r="E308">
        <v>8155.0050000000001</v>
      </c>
      <c r="G308" s="2">
        <f t="shared" si="36"/>
        <v>0</v>
      </c>
      <c r="H308" s="2">
        <f t="shared" si="37"/>
        <v>0</v>
      </c>
      <c r="I308" s="2">
        <f t="shared" si="38"/>
        <v>1</v>
      </c>
      <c r="J308" s="2"/>
      <c r="K308" s="2">
        <f t="shared" si="39"/>
        <v>1</v>
      </c>
      <c r="L308" s="2">
        <f t="shared" si="40"/>
        <v>1</v>
      </c>
      <c r="M308" s="2">
        <f t="shared" si="41"/>
        <v>1</v>
      </c>
      <c r="O308" s="3">
        <f t="shared" si="42"/>
        <v>0.56569276963241621</v>
      </c>
      <c r="P308" s="3">
        <f t="shared" si="43"/>
        <v>0.85982755375379905</v>
      </c>
      <c r="Q308" s="3">
        <f t="shared" si="44"/>
        <v>0.48639823028925178</v>
      </c>
    </row>
    <row r="309" spans="1:17" x14ac:dyDescent="0.3">
      <c r="A309" s="1" t="s">
        <v>312</v>
      </c>
      <c r="B309">
        <v>13237.995000000001</v>
      </c>
      <c r="C309">
        <v>13237.995000000001</v>
      </c>
      <c r="D309">
        <v>13237.995000000001</v>
      </c>
      <c r="E309">
        <v>13237.995000000001</v>
      </c>
      <c r="G309" s="2">
        <f t="shared" si="36"/>
        <v>1</v>
      </c>
      <c r="H309" s="2">
        <f t="shared" si="37"/>
        <v>1</v>
      </c>
      <c r="I309" s="2">
        <f t="shared" si="38"/>
        <v>1</v>
      </c>
      <c r="J309" s="2"/>
      <c r="K309" s="2">
        <f t="shared" si="39"/>
        <v>0</v>
      </c>
      <c r="L309" s="2">
        <f t="shared" si="40"/>
        <v>0</v>
      </c>
      <c r="M309" s="2">
        <f t="shared" si="41"/>
        <v>0</v>
      </c>
      <c r="O309" s="3">
        <f t="shared" si="42"/>
        <v>1</v>
      </c>
      <c r="P309" s="3">
        <f t="shared" si="43"/>
        <v>1</v>
      </c>
      <c r="Q309" s="3">
        <f t="shared" si="44"/>
        <v>1</v>
      </c>
    </row>
    <row r="310" spans="1:17" x14ac:dyDescent="0.3">
      <c r="A310" s="1" t="s">
        <v>313</v>
      </c>
      <c r="B310">
        <v>9716</v>
      </c>
      <c r="C310">
        <v>9716</v>
      </c>
      <c r="D310">
        <v>9716</v>
      </c>
      <c r="E310">
        <v>9716</v>
      </c>
      <c r="G310" s="2">
        <f t="shared" si="36"/>
        <v>1</v>
      </c>
      <c r="H310" s="2">
        <f t="shared" si="37"/>
        <v>1</v>
      </c>
      <c r="I310" s="2">
        <f t="shared" si="38"/>
        <v>1</v>
      </c>
      <c r="J310" s="2"/>
      <c r="K310" s="2">
        <f t="shared" si="39"/>
        <v>0</v>
      </c>
      <c r="L310" s="2">
        <f t="shared" si="40"/>
        <v>0</v>
      </c>
      <c r="M310" s="2">
        <f t="shared" si="41"/>
        <v>0</v>
      </c>
      <c r="O310" s="3">
        <f t="shared" si="42"/>
        <v>1</v>
      </c>
      <c r="P310" s="3">
        <f t="shared" si="43"/>
        <v>1</v>
      </c>
      <c r="Q310" s="3">
        <f t="shared" si="44"/>
        <v>1</v>
      </c>
    </row>
    <row r="311" spans="1:17" x14ac:dyDescent="0.3">
      <c r="A311" s="1" t="s">
        <v>314</v>
      </c>
      <c r="B311">
        <v>9955.7829999999994</v>
      </c>
      <c r="C311">
        <v>12376.985000000001</v>
      </c>
      <c r="D311">
        <v>12376.985000000001</v>
      </c>
      <c r="E311">
        <v>12376.985000000001</v>
      </c>
      <c r="G311" s="2">
        <f t="shared" si="36"/>
        <v>0</v>
      </c>
      <c r="H311" s="2">
        <f t="shared" si="37"/>
        <v>1</v>
      </c>
      <c r="I311" s="2">
        <f t="shared" si="38"/>
        <v>1</v>
      </c>
      <c r="J311" s="2"/>
      <c r="K311" s="2">
        <f t="shared" si="39"/>
        <v>1</v>
      </c>
      <c r="L311" s="2">
        <f t="shared" si="40"/>
        <v>0</v>
      </c>
      <c r="M311" s="2">
        <f t="shared" si="41"/>
        <v>1</v>
      </c>
      <c r="O311" s="3">
        <f t="shared" si="42"/>
        <v>0.80437869157957276</v>
      </c>
      <c r="P311" s="3">
        <f t="shared" si="43"/>
        <v>1</v>
      </c>
      <c r="Q311" s="3">
        <f t="shared" si="44"/>
        <v>0.80437869157957276</v>
      </c>
    </row>
    <row r="312" spans="1:17" x14ac:dyDescent="0.3">
      <c r="A312" s="1" t="s">
        <v>315</v>
      </c>
      <c r="B312">
        <v>14369.995999999999</v>
      </c>
      <c r="C312">
        <v>14369.995999999999</v>
      </c>
      <c r="D312">
        <v>14369.995999999999</v>
      </c>
      <c r="E312">
        <v>14369.995999999999</v>
      </c>
      <c r="G312" s="2">
        <f t="shared" si="36"/>
        <v>1</v>
      </c>
      <c r="H312" s="2">
        <f t="shared" si="37"/>
        <v>1</v>
      </c>
      <c r="I312" s="2">
        <f t="shared" si="38"/>
        <v>1</v>
      </c>
      <c r="J312" s="2"/>
      <c r="K312" s="2">
        <f t="shared" si="39"/>
        <v>0</v>
      </c>
      <c r="L312" s="2">
        <f t="shared" si="40"/>
        <v>0</v>
      </c>
      <c r="M312" s="2">
        <f t="shared" si="41"/>
        <v>0</v>
      </c>
      <c r="O312" s="3">
        <f t="shared" si="42"/>
        <v>1</v>
      </c>
      <c r="P312" s="3">
        <f t="shared" si="43"/>
        <v>1</v>
      </c>
      <c r="Q312" s="3">
        <f t="shared" si="44"/>
        <v>1</v>
      </c>
    </row>
    <row r="313" spans="1:17" x14ac:dyDescent="0.3">
      <c r="A313" s="1" t="s">
        <v>316</v>
      </c>
      <c r="B313">
        <v>7158.0029999999997</v>
      </c>
      <c r="C313">
        <v>7158.0029999999997</v>
      </c>
      <c r="D313">
        <v>7158.0029999999997</v>
      </c>
      <c r="E313">
        <v>7158.0029999999997</v>
      </c>
      <c r="G313" s="2">
        <f t="shared" si="36"/>
        <v>1</v>
      </c>
      <c r="H313" s="2">
        <f t="shared" si="37"/>
        <v>1</v>
      </c>
      <c r="I313" s="2">
        <f t="shared" si="38"/>
        <v>1</v>
      </c>
      <c r="J313" s="2"/>
      <c r="K313" s="2">
        <f t="shared" si="39"/>
        <v>0</v>
      </c>
      <c r="L313" s="2">
        <f t="shared" si="40"/>
        <v>0</v>
      </c>
      <c r="M313" s="2">
        <f t="shared" si="41"/>
        <v>0</v>
      </c>
      <c r="O313" s="3">
        <f t="shared" si="42"/>
        <v>1</v>
      </c>
      <c r="P313" s="3">
        <f t="shared" si="43"/>
        <v>1</v>
      </c>
      <c r="Q313" s="3">
        <f t="shared" si="44"/>
        <v>1</v>
      </c>
    </row>
    <row r="314" spans="1:17" x14ac:dyDescent="0.3">
      <c r="A314" s="1" t="s">
        <v>317</v>
      </c>
      <c r="B314">
        <v>7873.9110000000001</v>
      </c>
      <c r="C314">
        <v>8458.0059999999994</v>
      </c>
      <c r="D314">
        <v>8458.0059999999994</v>
      </c>
      <c r="E314">
        <v>8458.0059999999994</v>
      </c>
      <c r="G314" s="2">
        <f t="shared" si="36"/>
        <v>0</v>
      </c>
      <c r="H314" s="2">
        <f t="shared" si="37"/>
        <v>1</v>
      </c>
      <c r="I314" s="2">
        <f t="shared" si="38"/>
        <v>1</v>
      </c>
      <c r="J314" s="2"/>
      <c r="K314" s="2">
        <f t="shared" si="39"/>
        <v>1</v>
      </c>
      <c r="L314" s="2">
        <f t="shared" si="40"/>
        <v>0</v>
      </c>
      <c r="M314" s="2">
        <f t="shared" si="41"/>
        <v>1</v>
      </c>
      <c r="O314" s="3">
        <f t="shared" si="42"/>
        <v>0.93094176097770565</v>
      </c>
      <c r="P314" s="3">
        <f t="shared" si="43"/>
        <v>1</v>
      </c>
      <c r="Q314" s="3">
        <f t="shared" si="44"/>
        <v>0.93094176097770565</v>
      </c>
    </row>
    <row r="315" spans="1:17" x14ac:dyDescent="0.3">
      <c r="A315" s="1" t="s">
        <v>318</v>
      </c>
      <c r="B315">
        <v>6554.4120000000003</v>
      </c>
      <c r="C315">
        <v>8695.3130000000001</v>
      </c>
      <c r="D315">
        <v>9257.0059999999994</v>
      </c>
      <c r="E315">
        <v>9257.0059999999994</v>
      </c>
      <c r="G315" s="2">
        <f t="shared" si="36"/>
        <v>0</v>
      </c>
      <c r="H315" s="2">
        <f t="shared" si="37"/>
        <v>0</v>
      </c>
      <c r="I315" s="2">
        <f t="shared" si="38"/>
        <v>1</v>
      </c>
      <c r="J315" s="2"/>
      <c r="K315" s="2">
        <f t="shared" si="39"/>
        <v>1</v>
      </c>
      <c r="L315" s="2">
        <f t="shared" si="40"/>
        <v>1</v>
      </c>
      <c r="M315" s="2">
        <f t="shared" si="41"/>
        <v>1</v>
      </c>
      <c r="O315" s="3">
        <f t="shared" si="42"/>
        <v>0.7537867814534106</v>
      </c>
      <c r="P315" s="3">
        <f t="shared" si="43"/>
        <v>0.93932238998224704</v>
      </c>
      <c r="Q315" s="3">
        <f t="shared" si="44"/>
        <v>0.70804880109184343</v>
      </c>
    </row>
    <row r="316" spans="1:17" x14ac:dyDescent="0.3">
      <c r="A316" s="1" t="s">
        <v>319</v>
      </c>
      <c r="B316">
        <v>4572.7939999999999</v>
      </c>
      <c r="C316">
        <v>6373.9840000000004</v>
      </c>
      <c r="D316">
        <v>6373.9840000000004</v>
      </c>
      <c r="E316">
        <v>6373.9840000000004</v>
      </c>
      <c r="G316" s="2">
        <f t="shared" si="36"/>
        <v>0</v>
      </c>
      <c r="H316" s="2">
        <f t="shared" si="37"/>
        <v>1</v>
      </c>
      <c r="I316" s="2">
        <f t="shared" si="38"/>
        <v>1</v>
      </c>
      <c r="J316" s="2"/>
      <c r="K316" s="2">
        <f t="shared" si="39"/>
        <v>1</v>
      </c>
      <c r="L316" s="2">
        <f t="shared" si="40"/>
        <v>0</v>
      </c>
      <c r="M316" s="2">
        <f t="shared" si="41"/>
        <v>1</v>
      </c>
      <c r="O316" s="3">
        <f t="shared" si="42"/>
        <v>0.71741535592182215</v>
      </c>
      <c r="P316" s="3">
        <f t="shared" si="43"/>
        <v>1</v>
      </c>
      <c r="Q316" s="3">
        <f t="shared" si="44"/>
        <v>0.71741535592182215</v>
      </c>
    </row>
    <row r="317" spans="1:17" x14ac:dyDescent="0.3">
      <c r="A317" s="1" t="s">
        <v>320</v>
      </c>
      <c r="B317">
        <v>18612.972000000002</v>
      </c>
      <c r="C317">
        <v>18612.972000000002</v>
      </c>
      <c r="D317">
        <v>18612.972000000002</v>
      </c>
      <c r="E317">
        <v>18612.972000000002</v>
      </c>
      <c r="G317" s="2">
        <f t="shared" si="36"/>
        <v>1</v>
      </c>
      <c r="H317" s="2">
        <f t="shared" si="37"/>
        <v>1</v>
      </c>
      <c r="I317" s="2">
        <f t="shared" si="38"/>
        <v>1</v>
      </c>
      <c r="J317" s="2"/>
      <c r="K317" s="2">
        <f t="shared" si="39"/>
        <v>0</v>
      </c>
      <c r="L317" s="2">
        <f t="shared" si="40"/>
        <v>0</v>
      </c>
      <c r="M317" s="2">
        <f t="shared" si="41"/>
        <v>0</v>
      </c>
      <c r="O317" s="3">
        <f t="shared" si="42"/>
        <v>1</v>
      </c>
      <c r="P317" s="3">
        <f t="shared" si="43"/>
        <v>1</v>
      </c>
      <c r="Q317" s="3">
        <f t="shared" si="44"/>
        <v>1</v>
      </c>
    </row>
    <row r="318" spans="1:17" x14ac:dyDescent="0.3">
      <c r="A318" s="1" t="s">
        <v>321</v>
      </c>
      <c r="B318">
        <v>7954.0140000000001</v>
      </c>
      <c r="C318">
        <v>9034</v>
      </c>
      <c r="D318">
        <v>9034</v>
      </c>
      <c r="E318">
        <v>9034</v>
      </c>
      <c r="G318" s="2">
        <f t="shared" si="36"/>
        <v>0</v>
      </c>
      <c r="H318" s="2">
        <f t="shared" si="37"/>
        <v>1</v>
      </c>
      <c r="I318" s="2">
        <f t="shared" si="38"/>
        <v>1</v>
      </c>
      <c r="J318" s="2"/>
      <c r="K318" s="2">
        <f t="shared" si="39"/>
        <v>1</v>
      </c>
      <c r="L318" s="2">
        <f t="shared" si="40"/>
        <v>0</v>
      </c>
      <c r="M318" s="2">
        <f t="shared" si="41"/>
        <v>1</v>
      </c>
      <c r="O318" s="3">
        <f t="shared" si="42"/>
        <v>0.88045317688731461</v>
      </c>
      <c r="P318" s="3">
        <f t="shared" si="43"/>
        <v>1</v>
      </c>
      <c r="Q318" s="3">
        <f t="shared" si="44"/>
        <v>0.88045317688731461</v>
      </c>
    </row>
    <row r="319" spans="1:17" x14ac:dyDescent="0.3">
      <c r="A319" s="1" t="s">
        <v>322</v>
      </c>
      <c r="B319">
        <v>21263.257000000001</v>
      </c>
      <c r="C319">
        <v>22871.011999999999</v>
      </c>
      <c r="D319">
        <v>22871.011999999999</v>
      </c>
      <c r="E319">
        <v>22871.011999999999</v>
      </c>
      <c r="G319" s="2">
        <f t="shared" si="36"/>
        <v>0</v>
      </c>
      <c r="H319" s="2">
        <f t="shared" si="37"/>
        <v>1</v>
      </c>
      <c r="I319" s="2">
        <f t="shared" si="38"/>
        <v>1</v>
      </c>
      <c r="J319" s="2"/>
      <c r="K319" s="2">
        <f t="shared" si="39"/>
        <v>1</v>
      </c>
      <c r="L319" s="2">
        <f t="shared" si="40"/>
        <v>0</v>
      </c>
      <c r="M319" s="2">
        <f t="shared" si="41"/>
        <v>1</v>
      </c>
      <c r="O319" s="3">
        <f t="shared" si="42"/>
        <v>0.92970337298585659</v>
      </c>
      <c r="P319" s="3">
        <f t="shared" si="43"/>
        <v>1</v>
      </c>
      <c r="Q319" s="3">
        <f t="shared" si="44"/>
        <v>0.92970337298585659</v>
      </c>
    </row>
    <row r="320" spans="1:17" x14ac:dyDescent="0.3">
      <c r="A320" s="1" t="s">
        <v>323</v>
      </c>
      <c r="B320">
        <v>18578.031999999999</v>
      </c>
      <c r="C320">
        <v>18578.031999999999</v>
      </c>
      <c r="D320">
        <v>18578.031999999999</v>
      </c>
      <c r="E320">
        <v>18578.031999999999</v>
      </c>
      <c r="G320" s="2">
        <f t="shared" si="36"/>
        <v>1</v>
      </c>
      <c r="H320" s="2">
        <f t="shared" si="37"/>
        <v>1</v>
      </c>
      <c r="I320" s="2">
        <f t="shared" si="38"/>
        <v>1</v>
      </c>
      <c r="J320" s="2"/>
      <c r="K320" s="2">
        <f t="shared" si="39"/>
        <v>0</v>
      </c>
      <c r="L320" s="2">
        <f t="shared" si="40"/>
        <v>0</v>
      </c>
      <c r="M320" s="2">
        <f t="shared" si="41"/>
        <v>0</v>
      </c>
      <c r="O320" s="3">
        <f t="shared" si="42"/>
        <v>1</v>
      </c>
      <c r="P320" s="3">
        <f t="shared" si="43"/>
        <v>1</v>
      </c>
      <c r="Q320" s="3">
        <f t="shared" si="44"/>
        <v>1</v>
      </c>
    </row>
    <row r="321" spans="1:18" x14ac:dyDescent="0.3">
      <c r="A321" s="1" t="s">
        <v>324</v>
      </c>
      <c r="B321">
        <v>29765.021000000001</v>
      </c>
      <c r="C321">
        <v>29765.021000000001</v>
      </c>
      <c r="D321">
        <v>29765.021000000001</v>
      </c>
      <c r="E321">
        <v>29765.021000000001</v>
      </c>
      <c r="G321" s="2">
        <f t="shared" si="36"/>
        <v>1</v>
      </c>
      <c r="H321" s="2">
        <f t="shared" si="37"/>
        <v>1</v>
      </c>
      <c r="I321" s="2">
        <f t="shared" si="38"/>
        <v>1</v>
      </c>
      <c r="J321" s="2"/>
      <c r="K321" s="2">
        <f t="shared" si="39"/>
        <v>0</v>
      </c>
      <c r="L321" s="2">
        <f t="shared" si="40"/>
        <v>0</v>
      </c>
      <c r="M321" s="2">
        <f t="shared" si="41"/>
        <v>0</v>
      </c>
      <c r="O321" s="3">
        <f t="shared" si="42"/>
        <v>1</v>
      </c>
      <c r="P321" s="3">
        <f t="shared" si="43"/>
        <v>1</v>
      </c>
      <c r="Q321" s="3">
        <f t="shared" si="44"/>
        <v>1</v>
      </c>
    </row>
    <row r="322" spans="1:18" x14ac:dyDescent="0.3">
      <c r="A322" s="1" t="s">
        <v>325</v>
      </c>
      <c r="B322">
        <v>42885.016000000003</v>
      </c>
      <c r="C322">
        <v>42885.016000000003</v>
      </c>
      <c r="D322">
        <v>42885.016000000003</v>
      </c>
      <c r="E322">
        <v>42885.016000000003</v>
      </c>
      <c r="G322" s="2">
        <f t="shared" si="36"/>
        <v>1</v>
      </c>
      <c r="H322" s="2">
        <f t="shared" si="37"/>
        <v>1</v>
      </c>
      <c r="I322" s="2">
        <f t="shared" si="38"/>
        <v>1</v>
      </c>
      <c r="J322" s="2"/>
      <c r="K322" s="2">
        <f t="shared" si="39"/>
        <v>0</v>
      </c>
      <c r="L322" s="2">
        <f t="shared" si="40"/>
        <v>0</v>
      </c>
      <c r="M322" s="2">
        <f t="shared" si="41"/>
        <v>0</v>
      </c>
      <c r="O322" s="3">
        <f t="shared" si="42"/>
        <v>1</v>
      </c>
      <c r="P322" s="3">
        <f t="shared" si="43"/>
        <v>1</v>
      </c>
      <c r="Q322" s="3">
        <f t="shared" si="44"/>
        <v>1</v>
      </c>
    </row>
    <row r="323" spans="1:18" x14ac:dyDescent="0.3">
      <c r="A323" s="1" t="s">
        <v>326</v>
      </c>
      <c r="B323">
        <v>83905.082999999999</v>
      </c>
      <c r="C323">
        <v>83905.082999999999</v>
      </c>
      <c r="D323">
        <v>83905.082999999999</v>
      </c>
      <c r="E323">
        <v>83905.082999999999</v>
      </c>
      <c r="G323" s="2">
        <f t="shared" si="36"/>
        <v>1</v>
      </c>
      <c r="H323" s="2">
        <f t="shared" si="37"/>
        <v>1</v>
      </c>
      <c r="I323" s="2">
        <f t="shared" si="38"/>
        <v>1</v>
      </c>
      <c r="J323" s="2"/>
      <c r="K323" s="2">
        <f t="shared" si="39"/>
        <v>0</v>
      </c>
      <c r="L323" s="2">
        <f t="shared" si="40"/>
        <v>0</v>
      </c>
      <c r="M323" s="2">
        <f t="shared" si="41"/>
        <v>0</v>
      </c>
      <c r="O323" s="3">
        <f t="shared" ref="O323" si="45">IF(B323&lt;C323, B323/C323, 1)</f>
        <v>1</v>
      </c>
      <c r="P323" s="3">
        <f t="shared" ref="P323" si="46">IF(C323&lt;D323, C323/D323, 1)</f>
        <v>1</v>
      </c>
      <c r="Q323" s="3">
        <f t="shared" ref="Q323" si="47">IF(B323&lt;D323, B323/D323, 1)</f>
        <v>1</v>
      </c>
    </row>
    <row r="324" spans="1:18" x14ac:dyDescent="0.3">
      <c r="G324" s="2"/>
      <c r="H324" s="2"/>
      <c r="I324" s="2"/>
      <c r="J324" s="2"/>
      <c r="K324" s="2"/>
      <c r="M324" s="2"/>
      <c r="O324" s="3"/>
      <c r="P324" s="3"/>
      <c r="Q324" s="3"/>
    </row>
    <row r="325" spans="1:18" s="13" customFormat="1" x14ac:dyDescent="0.3">
      <c r="A325" s="12" t="s">
        <v>338</v>
      </c>
      <c r="G325" s="14">
        <f>SUM(G2:G323)</f>
        <v>38</v>
      </c>
      <c r="H325" s="14">
        <f>SUM(H2:H323)</f>
        <v>166</v>
      </c>
      <c r="I325" s="14">
        <f>SUM(I2:I323)</f>
        <v>275</v>
      </c>
      <c r="J325" s="14"/>
      <c r="K325" s="14">
        <f>SUM(K2:K323)</f>
        <v>284</v>
      </c>
      <c r="L325" s="14">
        <f>SUM(L2:L323)</f>
        <v>145</v>
      </c>
      <c r="M325" s="14">
        <f t="shared" ref="M325" si="48">SUM(M2:M323)</f>
        <v>284</v>
      </c>
      <c r="O325" s="15">
        <f>SUM(O2:O323)</f>
        <v>250.08124127618851</v>
      </c>
      <c r="P325" s="15">
        <f>SUM(P2:P323)</f>
        <v>297.08815080203925</v>
      </c>
      <c r="Q325" s="15">
        <f>SUM(Q2:Q323)</f>
        <v>232.46197844980117</v>
      </c>
    </row>
    <row r="326" spans="1:18" s="5" customFormat="1" x14ac:dyDescent="0.3">
      <c r="A326" s="4"/>
      <c r="G326" s="6"/>
      <c r="H326" s="6"/>
      <c r="I326" s="6"/>
      <c r="J326" s="6"/>
      <c r="K326" s="6"/>
      <c r="L326" s="6"/>
      <c r="M326" s="6"/>
    </row>
    <row r="327" spans="1:18" s="9" customFormat="1" x14ac:dyDescent="0.3">
      <c r="A327" s="7" t="s">
        <v>327</v>
      </c>
      <c r="B327" s="8">
        <f>AVERAGE(B2:B323)</f>
        <v>2595.1617360248442</v>
      </c>
      <c r="C327" s="8">
        <f t="shared" ref="C327:E327" si="49">AVERAGE(C2:C323)</f>
        <v>3083.2092888198763</v>
      </c>
      <c r="D327" s="8">
        <f t="shared" si="49"/>
        <v>3268.1104068322993</v>
      </c>
      <c r="E327" s="8">
        <f t="shared" si="49"/>
        <v>3323.8294472049702</v>
      </c>
      <c r="L327" s="10"/>
      <c r="O327" s="11">
        <f>O325/K325</f>
        <v>0.88056775097249473</v>
      </c>
      <c r="P327" s="11">
        <f>P325/L325</f>
        <v>2.0488837986347535</v>
      </c>
      <c r="Q327" s="11">
        <f>Q325/M325</f>
        <v>0.81852809313310271</v>
      </c>
    </row>
    <row r="328" spans="1:18" s="9" customFormat="1" x14ac:dyDescent="0.3">
      <c r="A328" s="7" t="s">
        <v>328</v>
      </c>
      <c r="B328" s="8">
        <f>STDEV(B2:B323)</f>
        <v>5964.5496725555004</v>
      </c>
      <c r="C328" s="8">
        <f>STDEV(C2:C323)</f>
        <v>6011.284348753311</v>
      </c>
      <c r="D328" s="8">
        <f t="shared" ref="D328:E328" si="50">STDEV(D2:D323)</f>
        <v>6004.3208221912955</v>
      </c>
      <c r="E328" s="8">
        <f t="shared" si="50"/>
        <v>5999.3536078922789</v>
      </c>
      <c r="L328" s="10"/>
    </row>
    <row r="329" spans="1:18" s="9" customFormat="1" x14ac:dyDescent="0.3">
      <c r="A329" s="7" t="s">
        <v>329</v>
      </c>
      <c r="B329" s="8">
        <f>MIN(B2:B323)</f>
        <v>34.036000000000001</v>
      </c>
      <c r="C329" s="8">
        <f>MIN(C2:C323)</f>
        <v>49.055999999999997</v>
      </c>
      <c r="D329" s="8">
        <f t="shared" ref="D329:E329" si="51">MIN(D2:D323)</f>
        <v>49.055999999999997</v>
      </c>
      <c r="E329" s="8">
        <f t="shared" si="51"/>
        <v>88.001000000000005</v>
      </c>
      <c r="L329" s="10"/>
      <c r="O329" s="11">
        <f>MIN(O2:O323)</f>
        <v>0.42043400617698057</v>
      </c>
      <c r="P329" s="11">
        <f>MIN(P2:P323)</f>
        <v>0.57766579128239692</v>
      </c>
      <c r="Q329" s="11">
        <f>MIN(Q2:Q323)</f>
        <v>0.3624801682692308</v>
      </c>
    </row>
    <row r="330" spans="1:18" s="9" customFormat="1" x14ac:dyDescent="0.3">
      <c r="A330" s="7" t="s">
        <v>330</v>
      </c>
      <c r="B330" s="8">
        <f>MAX(B2:B323)</f>
        <v>83905.082999999999</v>
      </c>
      <c r="C330" s="8">
        <f t="shared" ref="C330:E330" si="52">MAX(C2:C323)</f>
        <v>83905.082999999999</v>
      </c>
      <c r="D330" s="8">
        <f t="shared" si="52"/>
        <v>83905.082999999999</v>
      </c>
      <c r="E330" s="8">
        <f t="shared" si="52"/>
        <v>83905.082999999999</v>
      </c>
      <c r="L330" s="10"/>
      <c r="O330" s="11">
        <f>MAX(O2:O323)</f>
        <v>1</v>
      </c>
      <c r="P330" s="11">
        <f>MAX(P2:P323)</f>
        <v>1</v>
      </c>
      <c r="Q330" s="11">
        <f>MAX(Q2:Q323)</f>
        <v>1</v>
      </c>
    </row>
    <row r="332" spans="1:18" s="17" customFormat="1" x14ac:dyDescent="0.3">
      <c r="A332" s="16" t="s">
        <v>341</v>
      </c>
      <c r="L332" s="18"/>
      <c r="O332" s="19">
        <f>_xlfn.MAXIFS(O1:O323, O1:O323, "&lt;1")</f>
        <v>0.99828872458410356</v>
      </c>
      <c r="P332" s="19">
        <f>_xlfn.MAXIFS(P1:P323, P1:P323, "&lt;1")</f>
        <v>0.999886061791039</v>
      </c>
      <c r="Q332" s="19">
        <f>_xlfn.MAXIFS(Q1:Q323, Q1:Q323, "&lt;1")</f>
        <v>0.99828872458410356</v>
      </c>
    </row>
    <row r="333" spans="1:18" s="17" customFormat="1" x14ac:dyDescent="0.3">
      <c r="A333" s="16" t="s">
        <v>342</v>
      </c>
      <c r="L333" s="18"/>
      <c r="O333" s="19">
        <f>SUMIFS(O1:O323, O1:O323, "&lt;1")</f>
        <v>212.08124127618848</v>
      </c>
      <c r="P333" s="19">
        <f t="shared" ref="P333:R333" si="53">SUMIFS(P1:P323, P1:P323, "&lt;1")</f>
        <v>120.08815080203934</v>
      </c>
      <c r="Q333" s="19">
        <f t="shared" si="53"/>
        <v>194.46197844980117</v>
      </c>
      <c r="R333" s="19"/>
    </row>
    <row r="334" spans="1:18" s="17" customFormat="1" x14ac:dyDescent="0.3">
      <c r="A334" s="16" t="s">
        <v>343</v>
      </c>
      <c r="L334" s="18"/>
      <c r="O334" s="19">
        <f>AVERAGEIFS(O1:O323, O1:O323, "&lt;1")</f>
        <v>0.74676493407108624</v>
      </c>
      <c r="P334" s="19">
        <f t="shared" ref="P334:Q334" si="54">AVERAGEIFS(P1:P323, P1:P323, "&lt;1")</f>
        <v>0.82819414346234022</v>
      </c>
      <c r="Q334" s="19">
        <f t="shared" si="54"/>
        <v>0.68472527623169421</v>
      </c>
    </row>
    <row r="335" spans="1:18" x14ac:dyDescent="0.3">
      <c r="O335" s="3"/>
      <c r="P335" s="3"/>
      <c r="Q335" s="3"/>
    </row>
    <row r="336" spans="1:18" x14ac:dyDescent="0.3">
      <c r="O336" s="3"/>
      <c r="P336" s="3"/>
      <c r="Q336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MinCost_bank1990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Optim</dc:creator>
  <cp:lastModifiedBy>Mahmood MEHDILOO</cp:lastModifiedBy>
  <dcterms:created xsi:type="dcterms:W3CDTF">2023-01-10T17:15:00Z</dcterms:created>
  <dcterms:modified xsi:type="dcterms:W3CDTF">2026-05-03T23:26:08Z</dcterms:modified>
</cp:coreProperties>
</file>